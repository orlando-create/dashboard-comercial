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eta vs Realizado" sheetId="2" state="visible" r:id="rId2"/>
    <sheet xmlns:r="http://schemas.openxmlformats.org/officeDocument/2006/relationships" name="Hunter - Meta vs Real" sheetId="3" state="visible" r:id="rId3"/>
    <sheet xmlns:r="http://schemas.openxmlformats.org/officeDocument/2006/relationships" name="Praças" sheetId="4" state="visible" r:id="rId4"/>
    <sheet xmlns:r="http://schemas.openxmlformats.org/officeDocument/2006/relationships" name="Parceiros" sheetId="5" state="visible" r:id="rId5"/>
    <sheet xmlns:r="http://schemas.openxmlformats.org/officeDocument/2006/relationships" name="Realizado por Hunter" sheetId="6" state="visible" r:id="rId6"/>
    <sheet xmlns:r="http://schemas.openxmlformats.org/officeDocument/2006/relationships" name="Metas" sheetId="7" state="visible" r:id="rId7"/>
    <sheet xmlns:r="http://schemas.openxmlformats.org/officeDocument/2006/relationships" name="Base de Dados" sheetId="8" state="visible" r:id="rId8"/>
    <sheet xmlns:r="http://schemas.openxmlformats.org/officeDocument/2006/relationships" name="Parâmetro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&quot;R$ &quot;#,##0;[RED]&quot;(R$ &quot;#,##0\);\-"/>
    <numFmt numFmtId="165" formatCode="0.0%;[RED]\-0.0%;\-"/>
    <numFmt numFmtId="166" formatCode="0.0%"/>
    <numFmt numFmtId="167" formatCode="#,##0;[RED]\(#,##0\);\-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22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2E75B6"/>
      <sz val="14"/>
    </font>
    <font>
      <name val="Calibri"/>
      <charset val="1"/>
      <family val="0"/>
      <b val="1"/>
      <color rgb="FF2E75B6"/>
      <sz val="12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i val="1"/>
      <color rgb="FF595959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2"/>
    </font>
    <font>
      <name val="Calibri"/>
      <family val="2"/>
      <b val="1"/>
      <color rgb="FF000000"/>
      <sz val="10"/>
    </font>
    <font>
      <name val="Calibri"/>
      <charset val="1"/>
      <family val="0"/>
      <i val="1"/>
      <color rgb="FFC00000"/>
      <sz val="11"/>
    </font>
    <font>
      <name val="Calibri"/>
      <charset val="1"/>
      <family val="0"/>
      <b val="1"/>
      <color rgb="FF0000FF"/>
      <sz val="12"/>
    </font>
    <font>
      <name val="Calibri"/>
      <charset val="1"/>
      <family val="0"/>
      <b val="1"/>
      <color rgb="FF008000"/>
      <sz val="12"/>
    </font>
    <font>
      <name val="Calibri"/>
      <charset val="1"/>
      <family val="0"/>
      <b val="1"/>
      <i val="1"/>
      <sz val="10"/>
    </font>
    <font>
      <name val="Calibri"/>
      <charset val="1"/>
      <family val="0"/>
      <i val="1"/>
      <sz val="10"/>
    </font>
  </fonts>
  <fills count="11">
    <fill>
      <patternFill/>
    </fill>
    <fill>
      <patternFill patternType="gray125"/>
    </fill>
    <fill>
      <patternFill patternType="solid">
        <fgColor rgb="FF1F3864"/>
        <bgColor rgb="FF003300"/>
      </patternFill>
    </fill>
    <fill>
      <patternFill patternType="solid">
        <fgColor rgb="FF2E75B6"/>
        <bgColor rgb="FF4672A8"/>
      </patternFill>
    </fill>
    <fill>
      <patternFill patternType="solid">
        <fgColor rgb="FF70AD47"/>
        <bgColor rgb="FF8AA64F"/>
      </patternFill>
    </fill>
    <fill>
      <patternFill patternType="solid">
        <fgColor rgb="FFBF8F00"/>
        <bgColor rgb="FFCC7C3A"/>
      </patternFill>
    </fill>
    <fill>
      <patternFill patternType="solid">
        <fgColor rgb="FFFFFFFF"/>
        <bgColor rgb="FFF9F9F9"/>
      </patternFill>
    </fill>
    <fill>
      <patternFill patternType="solid">
        <fgColor rgb="FF808080"/>
        <bgColor rgb="FF878787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9F9F9"/>
      </patternFill>
    </fill>
    <fill>
      <patternFill patternType="solid">
        <fgColor rgb="FFFFFF00"/>
        <bgColor rgb="FFFFF2CC"/>
      </patternFill>
    </fill>
  </fills>
  <borders count="27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medium">
        <color rgb="FFBF8F00"/>
      </left>
      <right/>
      <top style="medium">
        <color rgb="FFBF8F00"/>
      </top>
      <bottom style="medium">
        <color rgb="FFBF8F00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 style="medium">
        <color rgb="FFBF8F00"/>
      </left>
      <right/>
      <top style="medium">
        <color rgb="FFBF8F00"/>
      </top>
      <bottom/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medium">
        <color rgb="FF70AD47"/>
      </top>
      <bottom/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/>
      <top style="medium">
        <color rgb="FFBF8F00"/>
      </top>
      <bottom/>
      <diagonal/>
    </border>
    <border>
      <left/>
      <right/>
      <top style="medium">
        <color rgb="FFBF8F00"/>
      </top>
      <bottom style="medium">
        <color rgb="FFBF8F00"/>
      </bottom>
      <diagonal/>
    </border>
    <border>
      <left style="medium">
        <color rgb="FF1F3864"/>
      </left>
      <right/>
      <top/>
      <bottom/>
      <diagonal/>
    </border>
    <border>
      <left style="medium">
        <color rgb="FF2E75B6"/>
      </left>
      <right/>
      <top/>
      <bottom/>
      <diagonal/>
    </border>
    <border>
      <left style="medium">
        <color rgb="FF70AD47"/>
      </left>
      <right/>
      <top/>
      <bottom/>
      <diagonal/>
    </border>
    <border>
      <left style="medium">
        <color rgb="FFBF8F00"/>
      </left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164" fontId="9" fillId="6" borderId="5" applyAlignment="1" pivotButton="0" quotePrefix="0" xfId="0">
      <alignment horizontal="center" vertical="center"/>
    </xf>
    <xf numFmtId="164" fontId="9" fillId="6" borderId="6" applyAlignment="1" pivotButton="0" quotePrefix="0" xfId="0">
      <alignment horizontal="center" vertical="center"/>
    </xf>
    <xf numFmtId="165" fontId="9" fillId="6" borderId="7" applyAlignment="1" pivotButton="0" quotePrefix="0" xfId="0">
      <alignment horizontal="center" vertical="center"/>
    </xf>
    <xf numFmtId="164" fontId="9" fillId="6" borderId="8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164" fontId="9" fillId="6" borderId="1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bottom" wrapText="1"/>
    </xf>
    <xf numFmtId="0" fontId="13" fillId="0" borderId="0" applyAlignment="1" pivotButton="0" quotePrefix="0" xfId="0">
      <alignment horizontal="general" vertical="bottom"/>
    </xf>
    <xf numFmtId="0" fontId="14" fillId="2" borderId="1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bottom"/>
    </xf>
    <xf numFmtId="164" fontId="16" fillId="0" borderId="11" applyAlignment="1" pivotButton="0" quotePrefix="0" xfId="0">
      <alignment horizontal="general" vertical="bottom"/>
    </xf>
    <xf numFmtId="165" fontId="16" fillId="0" borderId="11" applyAlignment="1" pivotButton="0" quotePrefix="0" xfId="0">
      <alignment horizontal="general" vertical="bottom"/>
    </xf>
    <xf numFmtId="0" fontId="14" fillId="2" borderId="11" applyAlignment="1" pivotButton="0" quotePrefix="0" xfId="0">
      <alignment horizontal="center" vertical="bottom"/>
    </xf>
    <xf numFmtId="164" fontId="14" fillId="2" borderId="11" applyAlignment="1" pivotButton="0" quotePrefix="0" xfId="0">
      <alignment horizontal="general" vertical="bottom"/>
    </xf>
    <xf numFmtId="165" fontId="14" fillId="2" borderId="1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5" fillId="8" borderId="11" applyAlignment="1" pivotButton="0" quotePrefix="0" xfId="0">
      <alignment horizontal="left" vertical="bottom"/>
    </xf>
    <xf numFmtId="164" fontId="15" fillId="0" borderId="11" applyAlignment="1" pivotButton="0" quotePrefix="0" xfId="0">
      <alignment horizontal="center" vertical="bottom"/>
    </xf>
    <xf numFmtId="166" fontId="15" fillId="0" borderId="11" applyAlignment="1" pivotButton="0" quotePrefix="0" xfId="0">
      <alignment horizontal="center" vertical="bottom"/>
    </xf>
    <xf numFmtId="1" fontId="15" fillId="0" borderId="11" applyAlignment="1" pivotButton="0" quotePrefix="0" xfId="0">
      <alignment horizontal="center" vertical="bottom"/>
    </xf>
    <xf numFmtId="0" fontId="5" fillId="0" borderId="11" applyAlignment="1" pivotButton="0" quotePrefix="0" xfId="0">
      <alignment horizontal="general" vertical="bottom"/>
    </xf>
    <xf numFmtId="0" fontId="16" fillId="0" borderId="11" applyAlignment="1" pivotButton="0" quotePrefix="0" xfId="0">
      <alignment horizontal="left" vertical="bottom"/>
    </xf>
    <xf numFmtId="0" fontId="14" fillId="2" borderId="0" applyAlignment="1" pivotButton="0" quotePrefix="0" xfId="0">
      <alignment horizontal="general" vertical="bottom"/>
    </xf>
    <xf numFmtId="166" fontId="14" fillId="2" borderId="11" applyAlignment="1" pivotButton="0" quotePrefix="0" xfId="0">
      <alignment horizontal="center" vertical="bottom"/>
    </xf>
    <xf numFmtId="166" fontId="14" fillId="2" borderId="11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 wrapText="1"/>
    </xf>
    <xf numFmtId="0" fontId="5" fillId="9" borderId="11" applyAlignment="1" pivotButton="0" quotePrefix="0" xfId="0">
      <alignment horizontal="general" vertical="bottom"/>
    </xf>
    <xf numFmtId="167" fontId="16" fillId="0" borderId="11" applyAlignment="1" pivotButton="0" quotePrefix="0" xfId="0">
      <alignment horizontal="general" vertical="bottom"/>
    </xf>
    <xf numFmtId="167" fontId="14" fillId="2" borderId="11" applyAlignment="1" pivotButton="0" quotePrefix="0" xfId="0">
      <alignment horizontal="general" vertical="bottom"/>
    </xf>
    <xf numFmtId="164" fontId="5" fillId="0" borderId="11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10" fontId="16" fillId="0" borderId="11" applyAlignment="1" pivotButton="0" quotePrefix="0" xfId="0">
      <alignment horizontal="general" vertical="bottom"/>
    </xf>
    <xf numFmtId="0" fontId="20" fillId="10" borderId="11" applyAlignment="1" pivotButton="0" quotePrefix="0" xfId="0">
      <alignment horizontal="center" vertical="bottom"/>
    </xf>
    <xf numFmtId="0" fontId="21" fillId="0" borderId="11" applyAlignment="1" pivotButton="0" quotePrefix="0" xfId="0">
      <alignment horizontal="center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2" applyAlignment="1" pivotButton="0" quotePrefix="0" xfId="0">
      <alignment horizontal="center" vertical="center"/>
    </xf>
    <xf numFmtId="0" fontId="0" fillId="0" borderId="15" pivotButton="0" quotePrefix="0" xfId="0"/>
    <xf numFmtId="0" fontId="8" fillId="4" borderId="3" applyAlignment="1" pivotButton="0" quotePrefix="0" xfId="0">
      <alignment horizontal="center" vertical="center"/>
    </xf>
    <xf numFmtId="0" fontId="0" fillId="0" borderId="17" pivotButton="0" quotePrefix="0" xfId="0"/>
    <xf numFmtId="0" fontId="8" fillId="5" borderId="4" applyAlignment="1" pivotButton="0" quotePrefix="0" xfId="0">
      <alignment horizontal="center" vertical="center"/>
    </xf>
    <xf numFmtId="0" fontId="0" fillId="0" borderId="19" pivotButton="0" quotePrefix="0" xfId="0"/>
    <xf numFmtId="164" fontId="9" fillId="6" borderId="5" applyAlignment="1" pivotButton="0" quotePrefix="0" xfId="0">
      <alignment horizontal="center" vertical="center"/>
    </xf>
    <xf numFmtId="0" fontId="0" fillId="0" borderId="12" pivotButton="0" quotePrefix="0" xfId="0"/>
    <xf numFmtId="164" fontId="9" fillId="6" borderId="6" applyAlignment="1" pivotButton="0" quotePrefix="0" xfId="0">
      <alignment horizontal="center" vertical="center"/>
    </xf>
    <xf numFmtId="0" fontId="0" fillId="0" borderId="14" pivotButton="0" quotePrefix="0" xfId="0"/>
    <xf numFmtId="165" fontId="9" fillId="6" borderId="7" applyAlignment="1" pivotButton="0" quotePrefix="0" xfId="0">
      <alignment horizontal="center" vertical="center"/>
    </xf>
    <xf numFmtId="0" fontId="0" fillId="0" borderId="16" pivotButton="0" quotePrefix="0" xfId="0"/>
    <xf numFmtId="164" fontId="9" fillId="6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8" fillId="7" borderId="9" applyAlignment="1" pivotButton="0" quotePrefix="0" xfId="0">
      <alignment horizontal="center" vertical="center"/>
    </xf>
    <xf numFmtId="0" fontId="0" fillId="0" borderId="25" pivotButton="0" quotePrefix="0" xfId="0"/>
    <xf numFmtId="164" fontId="9" fillId="6" borderId="10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0" fontId="10" fillId="0" borderId="0" applyAlignment="1" pivotButton="0" quotePrefix="0" xfId="0">
      <alignment horizontal="left" vertical="bottom" wrapText="1"/>
    </xf>
    <xf numFmtId="0" fontId="13" fillId="0" borderId="0" applyAlignment="1" pivotButton="0" quotePrefix="0" xfId="0">
      <alignment horizontal="general" vertical="bottom"/>
    </xf>
    <xf numFmtId="0" fontId="14" fillId="2" borderId="1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bottom"/>
    </xf>
    <xf numFmtId="164" fontId="16" fillId="0" borderId="11" applyAlignment="1" pivotButton="0" quotePrefix="0" xfId="0">
      <alignment horizontal="general" vertical="bottom"/>
    </xf>
    <xf numFmtId="165" fontId="16" fillId="0" borderId="11" applyAlignment="1" pivotButton="0" quotePrefix="0" xfId="0">
      <alignment horizontal="general" vertical="bottom"/>
    </xf>
    <xf numFmtId="0" fontId="14" fillId="2" borderId="11" applyAlignment="1" pivotButton="0" quotePrefix="0" xfId="0">
      <alignment horizontal="center" vertical="bottom"/>
    </xf>
    <xf numFmtId="164" fontId="14" fillId="2" borderId="11" applyAlignment="1" pivotButton="0" quotePrefix="0" xfId="0">
      <alignment horizontal="general" vertical="bottom"/>
    </xf>
    <xf numFmtId="165" fontId="14" fillId="2" borderId="1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5" fillId="8" borderId="11" applyAlignment="1" pivotButton="0" quotePrefix="0" xfId="0">
      <alignment horizontal="left" vertical="bottom"/>
    </xf>
    <xf numFmtId="164" fontId="15" fillId="0" borderId="11" applyAlignment="1" pivotButton="0" quotePrefix="0" xfId="0">
      <alignment horizontal="center" vertical="bottom"/>
    </xf>
    <xf numFmtId="166" fontId="15" fillId="0" borderId="11" applyAlignment="1" pivotButton="0" quotePrefix="0" xfId="0">
      <alignment horizontal="center" vertical="bottom"/>
    </xf>
    <xf numFmtId="1" fontId="15" fillId="0" borderId="11" applyAlignment="1" pivotButton="0" quotePrefix="0" xfId="0">
      <alignment horizontal="center" vertical="bottom"/>
    </xf>
    <xf numFmtId="0" fontId="5" fillId="0" borderId="11" applyAlignment="1" pivotButton="0" quotePrefix="0" xfId="0">
      <alignment horizontal="general" vertical="bottom"/>
    </xf>
    <xf numFmtId="0" fontId="16" fillId="0" borderId="11" applyAlignment="1" pivotButton="0" quotePrefix="0" xfId="0">
      <alignment horizontal="left" vertical="bottom"/>
    </xf>
    <xf numFmtId="0" fontId="14" fillId="2" borderId="0" applyAlignment="1" pivotButton="0" quotePrefix="0" xfId="0">
      <alignment horizontal="general" vertical="bottom"/>
    </xf>
    <xf numFmtId="166" fontId="14" fillId="2" borderId="11" applyAlignment="1" pivotButton="0" quotePrefix="0" xfId="0">
      <alignment horizontal="center" vertical="bottom"/>
    </xf>
    <xf numFmtId="166" fontId="14" fillId="2" borderId="11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 wrapText="1"/>
    </xf>
    <xf numFmtId="0" fontId="5" fillId="9" borderId="11" applyAlignment="1" pivotButton="0" quotePrefix="0" xfId="0">
      <alignment horizontal="general" vertical="bottom"/>
    </xf>
    <xf numFmtId="167" fontId="16" fillId="0" borderId="11" applyAlignment="1" pivotButton="0" quotePrefix="0" xfId="0">
      <alignment horizontal="general" vertical="bottom"/>
    </xf>
    <xf numFmtId="167" fontId="14" fillId="2" borderId="11" applyAlignment="1" pivotButton="0" quotePrefix="0" xfId="0">
      <alignment horizontal="general" vertical="bottom"/>
    </xf>
    <xf numFmtId="164" fontId="5" fillId="0" borderId="11" applyAlignment="1" pivotButton="0" quotePrefix="0" xfId="0">
      <alignment horizontal="general" vertical="bottom"/>
    </xf>
    <xf numFmtId="0" fontId="14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10" fontId="16" fillId="0" borderId="11" applyAlignment="1" pivotButton="0" quotePrefix="0" xfId="0">
      <alignment horizontal="general" vertical="bottom"/>
    </xf>
    <xf numFmtId="0" fontId="20" fillId="10" borderId="11" applyAlignment="1" pivotButton="0" quotePrefix="0" xfId="0">
      <alignment horizontal="center" vertical="bottom"/>
    </xf>
    <xf numFmtId="0" fontId="21" fillId="0" borderId="11" applyAlignment="1" pivotButton="0" quotePrefix="0" xfId="0">
      <alignment horizontal="center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70AD47"/>
      <rgbColor rgb="FF0000FF"/>
      <rgbColor rgb="FFFFFF00"/>
      <rgbColor rgb="FFD09493"/>
      <rgbColor rgb="FF00FFFF"/>
      <rgbColor rgb="FF800000"/>
      <rgbColor rgb="FF008000"/>
      <rgbColor rgb="FF000080"/>
      <rgbColor rgb="FF809B49"/>
      <rgbColor rgb="FFC0504D"/>
      <rgbColor rgb="FF4672A8"/>
      <rgbColor rgb="FFBFBFBF"/>
      <rgbColor rgb="FF808080"/>
      <rgbColor rgb="FF93A9CE"/>
      <rgbColor rgb="FF9F423F"/>
      <rgbColor rgb="FFFFF2CC"/>
      <rgbColor rgb="FFD9E1F2"/>
      <rgbColor rgb="FF660066"/>
      <rgbColor rgb="FFDC853E"/>
      <rgbColor rgb="FF416A9C"/>
      <rgbColor rgb="FFD9D9D9"/>
      <rgbColor rgb="FF000080"/>
      <rgbColor rgb="FFFF00FF"/>
      <rgbColor rgb="FF8AA64F"/>
      <rgbColor rgb="FF00FFFF"/>
      <rgbColor rgb="FF8064A2"/>
      <rgbColor rgb="FF800000"/>
      <rgbColor rgb="FF4299B0"/>
      <rgbColor rgb="FF0000FF"/>
      <rgbColor rgb="FF4F81BD"/>
      <rgbColor rgb="FFF9F9F9"/>
      <rgbColor rgb="FFB8CD97"/>
      <rgbColor rgb="FFAABAD7"/>
      <rgbColor rgb="FF92C3D5"/>
      <rgbColor rgb="FFD8AAA9"/>
      <rgbColor rgb="FFA99BBD"/>
      <rgbColor rgb="FFC5D6AC"/>
      <rgbColor rgb="FF2E75B6"/>
      <rgbColor rgb="FF4BACC6"/>
      <rgbColor rgb="FF9BBB59"/>
      <rgbColor rgb="FFBF8F00"/>
      <rgbColor rgb="FFF79646"/>
      <rgbColor rgb="FFCC7C3A"/>
      <rgbColor rgb="FF725990"/>
      <rgbColor rgb="FF878787"/>
      <rgbColor rgb="FF1F3864"/>
      <rgbColor rgb="FF3E8EA4"/>
      <rgbColor rgb="FF003300"/>
      <rgbColor rgb="FF4A7EBB"/>
      <rgbColor rgb="FFBE4B48"/>
      <rgbColor rgb="FFAB4744"/>
      <rgbColor rgb="FF6A5286"/>
      <rgbColor rgb="FF59595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Meta vs Realizado por Mês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'Meta vs Realizado'!B3</f>
              <strCache>
                <ptCount val="1"/>
                <pt idx="0">
                  <v>META</v>
                </pt>
              </strCache>
            </strRef>
          </tx>
          <spPr>
            <a:solidFill xmlns:a="http://schemas.openxmlformats.org/drawingml/2006/main">
              <a:srgbClr val="4672A8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'Meta vs Realizado'!$A$4:$A$15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'Meta vs Realizado'!$B$4:$B$15</f>
              <numCache>
                <formatCode>"R$ "#,##0;[RED]"(R$ "#,##0\);\-</formatCode>
                <ptCount val="12"/>
                <pt idx="0">
                  <v>1104000</v>
                </pt>
                <pt idx="1">
                  <v>1656000</v>
                </pt>
                <pt idx="2">
                  <v>2472000</v>
                </pt>
                <pt idx="3">
                  <v>2806000</v>
                </pt>
                <pt idx="4">
                  <v>2320000</v>
                </pt>
                <pt idx="5">
                  <v>2872000</v>
                </pt>
                <pt idx="6">
                  <v>5166000</v>
                </pt>
                <pt idx="7">
                  <v>3858000</v>
                </pt>
                <pt idx="8">
                  <v>5232000</v>
                </pt>
                <pt idx="9">
                  <v>5166000</v>
                </pt>
                <pt idx="10">
                  <v>3990000</v>
                </pt>
                <pt idx="11">
                  <v>2612000</v>
                </pt>
              </numCache>
            </numRef>
          </val>
        </ser>
        <ser>
          <idx val="1"/>
          <order val="1"/>
          <tx>
            <strRef>
              <f>'Meta vs Realizado'!C3</f>
              <strCache>
                <ptCount val="1"/>
                <pt idx="0">
                  <v>REALIZADO</v>
                </pt>
              </strCache>
            </strRef>
          </tx>
          <spPr>
            <a:solidFill xmlns:a="http://schemas.openxmlformats.org/drawingml/2006/main">
              <a:srgbClr val="93A9CE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'Meta vs Realizado'!$A$4:$A$15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'Meta vs Realizado'!$C$4:$C$15</f>
              <numCache>
                <formatCode>"R$ "#,##0;[RED]"(R$ "#,##0\);\-</formatCode>
                <ptCount val="12"/>
                <pt idx="0">
                  <v>1666861.2</v>
                </pt>
                <pt idx="1">
                  <v>1826749.1531</v>
                </pt>
                <pt idx="2">
                  <v>4240253.57</v>
                </pt>
                <pt idx="3">
                  <v>949001.74468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60126.5</v>
                </pt>
                <pt idx="11">
                  <v>902358.6899999999</v>
                </pt>
              </numCache>
            </numRef>
          </val>
        </ser>
        <gapWidth val="150"/>
        <overlap val="0"/>
        <axId val="46272018"/>
        <axId val="39216774"/>
      </barChart>
      <catAx>
        <axId val="4627201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9216774"/>
        <crosses val="autoZero"/>
        <auto val="1"/>
        <lblAlgn val="ctr"/>
        <lblOffset val="100"/>
        <noMultiLvlLbl val="0"/>
      </catAx>
      <valAx>
        <axId val="3921677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R$ &quot;#,##0;[RED]&quot;(R$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627201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Acumulado: Meta vs Realizado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'Meta vs Realizado'!E3</f>
              <strCache>
                <ptCount val="1"/>
                <pt idx="0">
                  <v>ACUM. META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'Meta vs Realizado'!$A$4:$A$15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'Meta vs Realizado'!$E$4:$E$15</f>
              <numCache>
                <formatCode>"R$ "#,##0;[RED]"(R$ "#,##0\);\-</formatCode>
                <ptCount val="12"/>
                <pt idx="0">
                  <v>1104000</v>
                </pt>
                <pt idx="1">
                  <v>2760000</v>
                </pt>
                <pt idx="2">
                  <v>5232000</v>
                </pt>
                <pt idx="3">
                  <v>8038000</v>
                </pt>
                <pt idx="4">
                  <v>10358000</v>
                </pt>
                <pt idx="5">
                  <v>13230000</v>
                </pt>
                <pt idx="6">
                  <v>18396000</v>
                </pt>
                <pt idx="7">
                  <v>22254000</v>
                </pt>
                <pt idx="8">
                  <v>27486000</v>
                </pt>
                <pt idx="9">
                  <v>32652000</v>
                </pt>
                <pt idx="10">
                  <v>36642000</v>
                </pt>
                <pt idx="11">
                  <v>39254000</v>
                </pt>
              </numCache>
            </numRef>
          </val>
          <smooth val="1"/>
        </ser>
        <ser>
          <idx val="1"/>
          <order val="1"/>
          <tx>
            <strRef>
              <f>'Meta vs Realizado'!F3</f>
              <strCache>
                <ptCount val="1"/>
                <pt idx="0">
                  <v>ACUM. REALIZADO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1260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'Meta vs Realizado'!$A$4:$A$15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'Meta vs Realizado'!$F$4:$F$15</f>
              <numCache>
                <formatCode>"R$ "#,##0;[RED]"(R$ "#,##0\);\-</formatCode>
                <ptCount val="12"/>
                <pt idx="0">
                  <v>1666861.2</v>
                </pt>
                <pt idx="1">
                  <v>3493610.3531</v>
                </pt>
                <pt idx="2">
                  <v>7733863.9231</v>
                </pt>
                <pt idx="3">
                  <v>8682865.667780001</v>
                </pt>
                <pt idx="4">
                  <v>8682865.667780001</v>
                </pt>
                <pt idx="5">
                  <v>8682865.667780001</v>
                </pt>
                <pt idx="6">
                  <v>8682865.667780001</v>
                </pt>
                <pt idx="7">
                  <v>8682865.667780001</v>
                </pt>
                <pt idx="8">
                  <v>8682865.667780001</v>
                </pt>
                <pt idx="9">
                  <v>8682865.667780001</v>
                </pt>
                <pt idx="10">
                  <v>8742992.167780001</v>
                </pt>
                <pt idx="11">
                  <v>9645350.85778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8399813"/>
        <axId val="95633731"/>
      </lineChart>
      <catAx>
        <axId val="8839981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5633731"/>
        <crosses val="autoZero"/>
        <auto val="1"/>
        <lblAlgn val="ctr"/>
        <lblOffset val="100"/>
        <noMultiLvlLbl val="0"/>
      </catAx>
      <valAx>
        <axId val="9563373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R$ &quot;#,##0;[RED]&quot;(R$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839981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Meta vs Realizado do Mês (Hunter)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'Hunter - Meta vs Real'!C3</f>
              <strCache>
                <ptCount val="1"/>
                <pt idx="0">
                  <v>META MÊS</v>
                </pt>
              </strCache>
            </strRef>
          </tx>
          <spPr>
            <a:solidFill xmlns:a="http://schemas.openxmlformats.org/drawingml/2006/main">
              <a:srgbClr val="AB4744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'Hunter - Meta vs Real'!$A$4:$A$19</f>
              <strCache>
                <ptCount val="16"/>
                <pt idx="0">
                  <v>ANDERSON</v>
                </pt>
                <pt idx="1">
                  <v>ARTHUR</v>
                </pt>
                <pt idx="2">
                  <v>BRUNA</v>
                </pt>
                <pt idx="3">
                  <v>CINTHIA</v>
                </pt>
                <pt idx="4">
                  <v>DIMAS</v>
                </pt>
                <pt idx="5">
                  <v>FORTALEZA 2</v>
                </pt>
                <pt idx="6">
                  <v>HEITOR</v>
                </pt>
                <pt idx="7">
                  <v>HUDSON</v>
                </pt>
                <pt idx="8">
                  <v>KATARINI</v>
                </pt>
                <pt idx="9">
                  <v>LEANDRO</v>
                </pt>
                <pt idx="10">
                  <v>NATHALIA</v>
                </pt>
                <pt idx="11">
                  <v>ORLANDO</v>
                </pt>
                <pt idx="12">
                  <v>PIAUI 2</v>
                </pt>
                <pt idx="13">
                  <v>RAUL</v>
                </pt>
                <pt idx="14">
                  <v>SILAS</v>
                </pt>
                <pt idx="15">
                  <v>THIAGO</v>
                </pt>
              </strCache>
            </strRef>
          </cat>
          <val>
            <numRef>
              <f>'Hunter - Meta vs Real'!$C$4:$C$19</f>
              <numCache>
                <formatCode>"R$ "#,##0;[RED]"(R$ "#,##0\);\-</formatCode>
                <ptCount val="16"/>
                <pt idx="0">
                  <v>100000</v>
                </pt>
                <pt idx="1">
                  <v>0</v>
                </pt>
                <pt idx="2">
                  <v>256000</v>
                </pt>
                <pt idx="3">
                  <v>256000</v>
                </pt>
                <pt idx="4">
                  <v>256000</v>
                </pt>
                <pt idx="5">
                  <v>0</v>
                </pt>
                <pt idx="6">
                  <v>256000</v>
                </pt>
                <pt idx="7">
                  <v>336000</v>
                </pt>
                <pt idx="8">
                  <v>100000</v>
                </pt>
                <pt idx="9">
                  <v>256000</v>
                </pt>
                <pt idx="10">
                  <v>256000</v>
                </pt>
                <pt idx="11">
                  <v>336000</v>
                </pt>
                <pt idx="12">
                  <v>0</v>
                </pt>
                <pt idx="13">
                  <v>198000</v>
                </pt>
                <pt idx="14">
                  <v>100000</v>
                </pt>
                <pt idx="15">
                  <v>100000</v>
                </pt>
              </numCache>
            </numRef>
          </val>
        </ser>
        <ser>
          <idx val="1"/>
          <order val="1"/>
          <tx>
            <strRef>
              <f>'Hunter - Meta vs Real'!D3</f>
              <strCache>
                <ptCount val="1"/>
                <pt idx="0">
                  <v>REALIZADO MÊS</v>
                </pt>
              </strCache>
            </strRef>
          </tx>
          <spPr>
            <a:solidFill xmlns:a="http://schemas.openxmlformats.org/drawingml/2006/main">
              <a:srgbClr val="D09493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'Hunter - Meta vs Real'!$A$4:$A$19</f>
              <strCache>
                <ptCount val="16"/>
                <pt idx="0">
                  <v>ANDERSON</v>
                </pt>
                <pt idx="1">
                  <v>ARTHUR</v>
                </pt>
                <pt idx="2">
                  <v>BRUNA</v>
                </pt>
                <pt idx="3">
                  <v>CINTHIA</v>
                </pt>
                <pt idx="4">
                  <v>DIMAS</v>
                </pt>
                <pt idx="5">
                  <v>FORTALEZA 2</v>
                </pt>
                <pt idx="6">
                  <v>HEITOR</v>
                </pt>
                <pt idx="7">
                  <v>HUDSON</v>
                </pt>
                <pt idx="8">
                  <v>KATARINI</v>
                </pt>
                <pt idx="9">
                  <v>LEANDRO</v>
                </pt>
                <pt idx="10">
                  <v>NATHALIA</v>
                </pt>
                <pt idx="11">
                  <v>ORLANDO</v>
                </pt>
                <pt idx="12">
                  <v>PIAUI 2</v>
                </pt>
                <pt idx="13">
                  <v>RAUL</v>
                </pt>
                <pt idx="14">
                  <v>SILAS</v>
                </pt>
                <pt idx="15">
                  <v>THIAGO</v>
                </pt>
              </strCache>
            </strRef>
          </cat>
          <val>
            <numRef>
              <f>'Hunter - Meta vs Real'!$D$4:$D$19</f>
              <numCache>
                <formatCode>"R$ "#,##0;[RED]"(R$ "#,##0\);\-</formatCode>
                <ptCount val="16"/>
                <pt idx="0">
                  <v>0</v>
                </pt>
                <pt idx="1">
                  <v>0</v>
                </pt>
                <pt idx="2">
                  <v>471596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274905.79468</v>
                </pt>
                <pt idx="8">
                  <v>0</v>
                </pt>
                <pt idx="9">
                  <v>202499.95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</ser>
        <gapWidth val="150"/>
        <overlap val="0"/>
        <axId val="22375069"/>
        <axId val="54885781"/>
      </barChart>
      <catAx>
        <axId val="2237506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4885781"/>
        <crosses val="autoZero"/>
        <auto val="1"/>
        <lblAlgn val="ctr"/>
        <lblOffset val="100"/>
        <noMultiLvlLbl val="0"/>
      </catAx>
      <valAx>
        <axId val="5488578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R$ &quot;#,##0;[RED]&quot;(R$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237506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Realizado Acumulado por Praça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Praças!E3</f>
              <strCache>
                <ptCount val="1"/>
                <pt idx="0">
                  <v>REAL. ACUMULADO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0949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B8CD9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A99BB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92C3D5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4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5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6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7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8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9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0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numFmt formatCode="&quot;R$ &quot;#,##0;[RED]&quot;(R$ &quot;#,##0\);\-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Praças!$A$4:$A$14</f>
              <strCache>
                <ptCount val="11"/>
                <pt idx="0">
                  <v>Campinas</v>
                </pt>
                <pt idx="1">
                  <v>Fortaleza</v>
                </pt>
                <pt idx="2">
                  <v>Marília e região</v>
                </pt>
                <pt idx="3">
                  <v>Matriz</v>
                </pt>
                <pt idx="4">
                  <v>Recife</v>
                </pt>
                <pt idx="5">
                  <v>São José do Rio Preto</v>
                </pt>
                <pt idx="6">
                  <v>São José dos Campos e ABC</v>
                </pt>
                <pt idx="7">
                  <v>São Paulo - Matriz</v>
                </pt>
                <pt idx="8">
                  <v>São Paulo e Santos</v>
                </pt>
                <pt idx="9">
                  <v>Teresina</v>
                </pt>
                <pt idx="10">
                  <v>Teresina e Mato Grosso do Sul</v>
                </pt>
              </strCache>
            </strRef>
          </cat>
          <val>
            <numRef>
              <f>Praças!$E$4:$E$14</f>
              <numCache>
                <formatCode>"R$ "#,##0;[RED]"(R$ "#,##0\);\-</formatCode>
                <ptCount val="11"/>
                <pt idx="0">
                  <v>428609.746</v>
                </pt>
                <pt idx="1">
                  <v>843574.05</v>
                </pt>
                <pt idx="2">
                  <v>1435329.0441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1928911.38468</v>
                </pt>
                <pt idx="8">
                  <v>1981987.12</v>
                </pt>
                <pt idx="9">
                  <v>0</v>
                </pt>
                <pt idx="10">
                  <v>2064454.323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Faturamento por Parceiro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Parceiros!C5</f>
              <strCache>
                <ptCount val="1"/>
                <pt idx="0">
                  <v>FATURAMENTO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16A9C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F423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09B4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A528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E8EA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C7C3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F81B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C0504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9BBB5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8064A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4BACC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F7964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AABAD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D8AAA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C5D6AC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4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5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6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7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8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9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0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1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2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3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4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Parceiros!$A$6:$A$20</f>
              <strCache>
                <ptCount val="15"/>
                <pt idx="0">
                  <v>None</v>
                </pt>
                <pt idx="1">
                  <v>None</v>
                </pt>
                <pt idx="2">
                  <v>None</v>
                </pt>
                <pt idx="3">
                  <v>None</v>
                </pt>
                <pt idx="4">
                  <v>None</v>
                </pt>
                <pt idx="5">
                  <v>None</v>
                </pt>
                <pt idx="6">
                  <v>None</v>
                </pt>
                <pt idx="7">
                  <v>None</v>
                </pt>
                <pt idx="8">
                  <v>None</v>
                </pt>
                <pt idx="9">
                  <v>None</v>
                </pt>
                <pt idx="10">
                  <v>None</v>
                </pt>
                <pt idx="11">
                  <v>None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</strCache>
            </strRef>
          </cat>
          <val>
            <numRef>
              <f>Parceiros!$C$6:$C$20</f>
              <numCache>
                <formatCode>General</formatCode>
                <ptCount val="15"/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Meta vs Realizado por Mês (R$)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'Meta vs Realizado'!B3</f>
              <strCache>
                <ptCount val="1"/>
                <pt idx="0">
                  <v>META</v>
                </pt>
              </strCache>
            </strRef>
          </tx>
          <spPr>
            <a:solidFill xmlns:a="http://schemas.openxmlformats.org/drawingml/2006/main">
              <a:srgbClr val="4672A8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0"/>
            <showCatName val="1"/>
            <showSerName val="1"/>
            <showPercent val="0"/>
            <showLeaderLines val="1"/>
          </dLbls>
          <cat>
            <strRef>
              <f>'Meta vs Realizado'!$A$4:$A$15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'Meta vs Realizado'!$B$4:$B$15</f>
              <numCache>
                <formatCode>"R$ "#,##0;[RED]"(R$ "#,##0\);\-</formatCode>
                <ptCount val="12"/>
                <pt idx="0">
                  <v>1104000</v>
                </pt>
                <pt idx="1">
                  <v>1656000</v>
                </pt>
                <pt idx="2">
                  <v>2472000</v>
                </pt>
                <pt idx="3">
                  <v>2806000</v>
                </pt>
                <pt idx="4">
                  <v>2320000</v>
                </pt>
                <pt idx="5">
                  <v>2872000</v>
                </pt>
                <pt idx="6">
                  <v>5166000</v>
                </pt>
                <pt idx="7">
                  <v>3858000</v>
                </pt>
                <pt idx="8">
                  <v>5232000</v>
                </pt>
                <pt idx="9">
                  <v>5166000</v>
                </pt>
                <pt idx="10">
                  <v>3990000</v>
                </pt>
                <pt idx="11">
                  <v>2612000</v>
                </pt>
              </numCache>
            </numRef>
          </val>
        </ser>
        <ser>
          <idx val="1"/>
          <order val="1"/>
          <tx>
            <strRef>
              <f>'Meta vs Realizado'!C3</f>
              <strCache>
                <ptCount val="1"/>
                <pt idx="0">
                  <v>REALIZADO</v>
                </pt>
              </strCache>
            </strRef>
          </tx>
          <spPr>
            <a:solidFill xmlns:a="http://schemas.openxmlformats.org/drawingml/2006/main">
              <a:srgbClr val="93A9CE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0"/>
            <showCatName val="1"/>
            <showSerName val="1"/>
            <showPercent val="0"/>
            <showLeaderLines val="1"/>
          </dLbls>
          <cat>
            <strRef>
              <f>'Meta vs Realizado'!$A$4:$A$15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'Meta vs Realizado'!$C$4:$C$15</f>
              <numCache>
                <formatCode>"R$ "#,##0;[RED]"(R$ "#,##0\);\-</formatCode>
                <ptCount val="12"/>
                <pt idx="0">
                  <v>1666861.2</v>
                </pt>
                <pt idx="1">
                  <v>1826749.1531</v>
                </pt>
                <pt idx="2">
                  <v>4240253.57</v>
                </pt>
                <pt idx="3">
                  <v>949001.74468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60126.5</v>
                </pt>
                <pt idx="11">
                  <v>902358.6899999999</v>
                </pt>
              </numCache>
            </numRef>
          </val>
        </ser>
        <gapWidth val="150"/>
        <overlap val="0"/>
        <axId val="87068455"/>
        <axId val="44238754"/>
      </barChart>
      <catAx>
        <axId val="8706845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4238754"/>
        <crosses val="autoZero"/>
        <auto val="1"/>
        <lblAlgn val="ctr"/>
        <lblOffset val="100"/>
        <noMultiLvlLbl val="0"/>
      </catAx>
      <valAx>
        <axId val="4423875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R$ &quot;#,##0;[RED]&quot;(R$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706845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% Atingido Mês a Mês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'Meta vs Realizado'!D3</f>
              <strCache>
                <ptCount val="1"/>
                <pt idx="0">
                  <v>% ATINGIDO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'Meta vs Realizado'!$A$4:$A$15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'Meta vs Realizado'!$D$4:$D$15</f>
              <numCache>
                <formatCode>0.0%;[RED]\-0.0%;\-</formatCode>
                <ptCount val="12"/>
                <pt idx="0">
                  <v>1.50983804347826</v>
                </pt>
                <pt idx="1">
                  <v>1.1031093919686</v>
                </pt>
                <pt idx="2">
                  <v>1.7153129328479</v>
                </pt>
                <pt idx="3">
                  <v>0.338204470662865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0.015069298245614</v>
                </pt>
                <pt idx="11">
                  <v>0.345466573506891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7851239"/>
        <axId val="1694116"/>
      </lineChart>
      <catAx>
        <axId val="7785123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694116"/>
        <crosses val="autoZero"/>
        <auto val="1"/>
        <lblAlgn val="ctr"/>
        <lblOffset val="100"/>
        <noMultiLvlLbl val="0"/>
      </catAx>
      <valAx>
        <axId val="169411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%;[RED]\-0.0%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785123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Acumulado: Meta vs Realizado (R$)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'Meta vs Realizado'!E3</f>
              <strCache>
                <ptCount val="1"/>
                <pt idx="0">
                  <v>ACUM. META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'Meta vs Realizado'!$A$4:$A$15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'Meta vs Realizado'!$E$4:$E$15</f>
              <numCache>
                <formatCode>"R$ "#,##0;[RED]"(R$ "#,##0\);\-</formatCode>
                <ptCount val="12"/>
                <pt idx="0">
                  <v>1104000</v>
                </pt>
                <pt idx="1">
                  <v>2760000</v>
                </pt>
                <pt idx="2">
                  <v>5232000</v>
                </pt>
                <pt idx="3">
                  <v>8038000</v>
                </pt>
                <pt idx="4">
                  <v>10358000</v>
                </pt>
                <pt idx="5">
                  <v>13230000</v>
                </pt>
                <pt idx="6">
                  <v>18396000</v>
                </pt>
                <pt idx="7">
                  <v>22254000</v>
                </pt>
                <pt idx="8">
                  <v>27486000</v>
                </pt>
                <pt idx="9">
                  <v>32652000</v>
                </pt>
                <pt idx="10">
                  <v>36642000</v>
                </pt>
                <pt idx="11">
                  <v>39254000</v>
                </pt>
              </numCache>
            </numRef>
          </val>
          <smooth val="1"/>
        </ser>
        <ser>
          <idx val="1"/>
          <order val="1"/>
          <tx>
            <strRef>
              <f>'Meta vs Realizado'!F3</f>
              <strCache>
                <ptCount val="1"/>
                <pt idx="0">
                  <v>ACUM. REALIZADO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1260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'Meta vs Realizado'!$A$4:$A$15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'Meta vs Realizado'!$F$4:$F$15</f>
              <numCache>
                <formatCode>"R$ "#,##0;[RED]"(R$ "#,##0\);\-</formatCode>
                <ptCount val="12"/>
                <pt idx="0">
                  <v>1666861.2</v>
                </pt>
                <pt idx="1">
                  <v>3493610.3531</v>
                </pt>
                <pt idx="2">
                  <v>7733863.9231</v>
                </pt>
                <pt idx="3">
                  <v>8682865.667780001</v>
                </pt>
                <pt idx="4">
                  <v>8682865.667780001</v>
                </pt>
                <pt idx="5">
                  <v>8682865.667780001</v>
                </pt>
                <pt idx="6">
                  <v>8682865.667780001</v>
                </pt>
                <pt idx="7">
                  <v>8682865.667780001</v>
                </pt>
                <pt idx="8">
                  <v>8682865.667780001</v>
                </pt>
                <pt idx="9">
                  <v>8682865.667780001</v>
                </pt>
                <pt idx="10">
                  <v>8742992.167780001</v>
                </pt>
                <pt idx="11">
                  <v>9645350.85778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5568573"/>
        <axId val="34176856"/>
      </lineChart>
      <catAx>
        <axId val="85568573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4176856"/>
        <crosses val="autoZero"/>
        <auto val="1"/>
        <lblAlgn val="ctr"/>
        <lblOffset val="100"/>
        <noMultiLvlLbl val="0"/>
      </catAx>
      <valAx>
        <axId val="3417685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R$ &quot;#,##0;[RED]&quot;(R$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556857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Meta vs Realizado do Mês — por Hunter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'Hunter - Meta vs Real'!C3</f>
              <strCache>
                <ptCount val="1"/>
                <pt idx="0">
                  <v>META MÊS</v>
                </pt>
              </strCache>
            </strRef>
          </tx>
          <spPr>
            <a:solidFill xmlns:a="http://schemas.openxmlformats.org/drawingml/2006/main">
              <a:srgbClr val="4672A8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'Hunter - Meta vs Real'!$A$4:$A$19</f>
              <strCache>
                <ptCount val="16"/>
                <pt idx="0">
                  <v>ANDERSON</v>
                </pt>
                <pt idx="1">
                  <v>ARTHUR</v>
                </pt>
                <pt idx="2">
                  <v>BRUNA</v>
                </pt>
                <pt idx="3">
                  <v>CINTHIA</v>
                </pt>
                <pt idx="4">
                  <v>DIMAS</v>
                </pt>
                <pt idx="5">
                  <v>FORTALEZA 2</v>
                </pt>
                <pt idx="6">
                  <v>HEITOR</v>
                </pt>
                <pt idx="7">
                  <v>HUDSON</v>
                </pt>
                <pt idx="8">
                  <v>KATARINI</v>
                </pt>
                <pt idx="9">
                  <v>LEANDRO</v>
                </pt>
                <pt idx="10">
                  <v>NATHALIA</v>
                </pt>
                <pt idx="11">
                  <v>ORLANDO</v>
                </pt>
                <pt idx="12">
                  <v>PIAUI 2</v>
                </pt>
                <pt idx="13">
                  <v>RAUL</v>
                </pt>
                <pt idx="14">
                  <v>SILAS</v>
                </pt>
                <pt idx="15">
                  <v>THIAGO</v>
                </pt>
              </strCache>
            </strRef>
          </cat>
          <val>
            <numRef>
              <f>'Hunter - Meta vs Real'!$C$4:$C$19</f>
              <numCache>
                <formatCode>"R$ "#,##0;[RED]"(R$ "#,##0\);\-</formatCode>
                <ptCount val="16"/>
                <pt idx="0">
                  <v>100000</v>
                </pt>
                <pt idx="1">
                  <v>0</v>
                </pt>
                <pt idx="2">
                  <v>256000</v>
                </pt>
                <pt idx="3">
                  <v>256000</v>
                </pt>
                <pt idx="4">
                  <v>256000</v>
                </pt>
                <pt idx="5">
                  <v>0</v>
                </pt>
                <pt idx="6">
                  <v>256000</v>
                </pt>
                <pt idx="7">
                  <v>336000</v>
                </pt>
                <pt idx="8">
                  <v>100000</v>
                </pt>
                <pt idx="9">
                  <v>256000</v>
                </pt>
                <pt idx="10">
                  <v>256000</v>
                </pt>
                <pt idx="11">
                  <v>336000</v>
                </pt>
                <pt idx="12">
                  <v>0</v>
                </pt>
                <pt idx="13">
                  <v>198000</v>
                </pt>
                <pt idx="14">
                  <v>100000</v>
                </pt>
                <pt idx="15">
                  <v>100000</v>
                </pt>
              </numCache>
            </numRef>
          </val>
        </ser>
        <ser>
          <idx val="1"/>
          <order val="1"/>
          <tx>
            <strRef>
              <f>'Hunter - Meta vs Real'!D3</f>
              <strCache>
                <ptCount val="1"/>
                <pt idx="0">
                  <v>REALIZADO MÊS</v>
                </pt>
              </strCache>
            </strRef>
          </tx>
          <spPr>
            <a:solidFill xmlns:a="http://schemas.openxmlformats.org/drawingml/2006/main">
              <a:srgbClr val="93A9CE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'Hunter - Meta vs Real'!$A$4:$A$19</f>
              <strCache>
                <ptCount val="16"/>
                <pt idx="0">
                  <v>ANDERSON</v>
                </pt>
                <pt idx="1">
                  <v>ARTHUR</v>
                </pt>
                <pt idx="2">
                  <v>BRUNA</v>
                </pt>
                <pt idx="3">
                  <v>CINTHIA</v>
                </pt>
                <pt idx="4">
                  <v>DIMAS</v>
                </pt>
                <pt idx="5">
                  <v>FORTALEZA 2</v>
                </pt>
                <pt idx="6">
                  <v>HEITOR</v>
                </pt>
                <pt idx="7">
                  <v>HUDSON</v>
                </pt>
                <pt idx="8">
                  <v>KATARINI</v>
                </pt>
                <pt idx="9">
                  <v>LEANDRO</v>
                </pt>
                <pt idx="10">
                  <v>NATHALIA</v>
                </pt>
                <pt idx="11">
                  <v>ORLANDO</v>
                </pt>
                <pt idx="12">
                  <v>PIAUI 2</v>
                </pt>
                <pt idx="13">
                  <v>RAUL</v>
                </pt>
                <pt idx="14">
                  <v>SILAS</v>
                </pt>
                <pt idx="15">
                  <v>THIAGO</v>
                </pt>
              </strCache>
            </strRef>
          </cat>
          <val>
            <numRef>
              <f>'Hunter - Meta vs Real'!$D$4:$D$19</f>
              <numCache>
                <formatCode>"R$ "#,##0;[RED]"(R$ "#,##0\);\-</formatCode>
                <ptCount val="16"/>
                <pt idx="0">
                  <v>0</v>
                </pt>
                <pt idx="1">
                  <v>0</v>
                </pt>
                <pt idx="2">
                  <v>471596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274905.79468</v>
                </pt>
                <pt idx="8">
                  <v>0</v>
                </pt>
                <pt idx="9">
                  <v>202499.95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</ser>
        <gapWidth val="150"/>
        <overlap val="0"/>
        <axId val="89601379"/>
        <axId val="71868618"/>
      </barChart>
      <catAx>
        <axId val="89601379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1868618"/>
        <crosses val="autoZero"/>
        <auto val="1"/>
        <lblAlgn val="ctr"/>
        <lblOffset val="100"/>
        <noMultiLvlLbl val="0"/>
      </catAx>
      <valAx>
        <axId val="7186861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R$ &quot;#,##0;[RED]&quot;(R$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960137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Meta vs Realizado ACUM — por Hunter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'Hunter - Meta vs Real'!F3</f>
              <strCache>
                <ptCount val="1"/>
                <pt idx="0">
                  <v>META ACUM.</v>
                </pt>
              </strCache>
            </strRef>
          </tx>
          <spPr>
            <a:solidFill xmlns:a="http://schemas.openxmlformats.org/drawingml/2006/main">
              <a:srgbClr val="AB4744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'Hunter - Meta vs Real'!$A$4:$A$19</f>
              <strCache>
                <ptCount val="16"/>
                <pt idx="0">
                  <v>ANDERSON</v>
                </pt>
                <pt idx="1">
                  <v>ARTHUR</v>
                </pt>
                <pt idx="2">
                  <v>BRUNA</v>
                </pt>
                <pt idx="3">
                  <v>CINTHIA</v>
                </pt>
                <pt idx="4">
                  <v>DIMAS</v>
                </pt>
                <pt idx="5">
                  <v>FORTALEZA 2</v>
                </pt>
                <pt idx="6">
                  <v>HEITOR</v>
                </pt>
                <pt idx="7">
                  <v>HUDSON</v>
                </pt>
                <pt idx="8">
                  <v>KATARINI</v>
                </pt>
                <pt idx="9">
                  <v>LEANDRO</v>
                </pt>
                <pt idx="10">
                  <v>NATHALIA</v>
                </pt>
                <pt idx="11">
                  <v>ORLANDO</v>
                </pt>
                <pt idx="12">
                  <v>PIAUI 2</v>
                </pt>
                <pt idx="13">
                  <v>RAUL</v>
                </pt>
                <pt idx="14">
                  <v>SILAS</v>
                </pt>
                <pt idx="15">
                  <v>THIAGO</v>
                </pt>
              </strCache>
            </strRef>
          </cat>
          <val>
            <numRef>
              <f>'Hunter - Meta vs Real'!$F$4:$F$19</f>
              <numCache>
                <formatCode>"R$ "#,##0;[RED]"(R$ "#,##0\);\-</formatCode>
                <ptCount val="16"/>
                <pt idx="0">
                  <v>100000</v>
                </pt>
                <pt idx="1">
                  <v>0</v>
                </pt>
                <pt idx="2">
                  <v>832000</v>
                </pt>
                <pt idx="3">
                  <v>832000</v>
                </pt>
                <pt idx="4">
                  <v>832000</v>
                </pt>
                <pt idx="5">
                  <v>0</v>
                </pt>
                <pt idx="6">
                  <v>832000</v>
                </pt>
                <pt idx="7">
                  <v>1092000</v>
                </pt>
                <pt idx="8">
                  <v>100000</v>
                </pt>
                <pt idx="9">
                  <v>832000</v>
                </pt>
                <pt idx="10">
                  <v>832000</v>
                </pt>
                <pt idx="11">
                  <v>1092000</v>
                </pt>
                <pt idx="12">
                  <v>0</v>
                </pt>
                <pt idx="13">
                  <v>462000</v>
                </pt>
                <pt idx="14">
                  <v>100000</v>
                </pt>
                <pt idx="15">
                  <v>100000</v>
                </pt>
              </numCache>
            </numRef>
          </val>
        </ser>
        <ser>
          <idx val="1"/>
          <order val="1"/>
          <tx>
            <strRef>
              <f>'Hunter - Meta vs Real'!G3</f>
              <strCache>
                <ptCount val="1"/>
                <pt idx="0">
                  <v>REAL. ACUM.</v>
                </pt>
              </strCache>
            </strRef>
          </tx>
          <spPr>
            <a:solidFill xmlns:a="http://schemas.openxmlformats.org/drawingml/2006/main">
              <a:srgbClr val="D09493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'Hunter - Meta vs Real'!$A$4:$A$19</f>
              <strCache>
                <ptCount val="16"/>
                <pt idx="0">
                  <v>ANDERSON</v>
                </pt>
                <pt idx="1">
                  <v>ARTHUR</v>
                </pt>
                <pt idx="2">
                  <v>BRUNA</v>
                </pt>
                <pt idx="3">
                  <v>CINTHIA</v>
                </pt>
                <pt idx="4">
                  <v>DIMAS</v>
                </pt>
                <pt idx="5">
                  <v>FORTALEZA 2</v>
                </pt>
                <pt idx="6">
                  <v>HEITOR</v>
                </pt>
                <pt idx="7">
                  <v>HUDSON</v>
                </pt>
                <pt idx="8">
                  <v>KATARINI</v>
                </pt>
                <pt idx="9">
                  <v>LEANDRO</v>
                </pt>
                <pt idx="10">
                  <v>NATHALIA</v>
                </pt>
                <pt idx="11">
                  <v>ORLANDO</v>
                </pt>
                <pt idx="12">
                  <v>PIAUI 2</v>
                </pt>
                <pt idx="13">
                  <v>RAUL</v>
                </pt>
                <pt idx="14">
                  <v>SILAS</v>
                </pt>
                <pt idx="15">
                  <v>THIAGO</v>
                </pt>
              </strCache>
            </strRef>
          </cat>
          <val>
            <numRef>
              <f>'Hunter - Meta vs Real'!$G$4:$G$19</f>
              <numCache>
                <formatCode>"R$ "#,##0;[RED]"(R$ "#,##0\);\-</formatCode>
                <ptCount val="16"/>
                <pt idx="0">
                  <v>0</v>
                </pt>
                <pt idx="1">
                  <v>0</v>
                </pt>
                <pt idx="2">
                  <v>1981987.12</v>
                </pt>
                <pt idx="3">
                  <v>843574.05</v>
                </pt>
                <pt idx="4">
                  <v>2064454.323</v>
                </pt>
                <pt idx="5">
                  <v>0</v>
                </pt>
                <pt idx="6">
                  <v>428609.746</v>
                </pt>
                <pt idx="7">
                  <v>315247.39468</v>
                </pt>
                <pt idx="8">
                  <v>0</v>
                </pt>
                <pt idx="9">
                  <v>1435329.0441</v>
                </pt>
                <pt idx="10">
                  <v>0</v>
                </pt>
                <pt idx="11">
                  <v>1613663.99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</ser>
        <gapWidth val="150"/>
        <overlap val="0"/>
        <axId val="25703970"/>
        <axId val="92385249"/>
      </barChart>
      <catAx>
        <axId val="257039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2385249"/>
        <crosses val="autoZero"/>
        <auto val="1"/>
        <lblAlgn val="ctr"/>
        <lblOffset val="100"/>
        <noMultiLvlLbl val="0"/>
      </catAx>
      <valAx>
        <axId val="9238524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R$ &quot;#,##0;[RED]&quot;(R$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570397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Participação Acumulada por Praça (R$)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Praças!E3</f>
              <strCache>
                <ptCount val="1"/>
                <pt idx="0">
                  <v>REAL. ACUMULADO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0949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B8CD9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A99BB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92C3D5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4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5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6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7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8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9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0"/>
              <numFmt formatCode="&quot;R$ &quot;#,##0;[RED]&quot;(R$ &quot;#,##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numFmt formatCode="&quot;R$ &quot;#,##0;[RED]&quot;(R$ &quot;#,##0\);\-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Praças!$A$4:$A$14</f>
              <strCache>
                <ptCount val="11"/>
                <pt idx="0">
                  <v>Campinas</v>
                </pt>
                <pt idx="1">
                  <v>Fortaleza</v>
                </pt>
                <pt idx="2">
                  <v>Marília e região</v>
                </pt>
                <pt idx="3">
                  <v>Matriz</v>
                </pt>
                <pt idx="4">
                  <v>Recife</v>
                </pt>
                <pt idx="5">
                  <v>São José do Rio Preto</v>
                </pt>
                <pt idx="6">
                  <v>São José dos Campos e ABC</v>
                </pt>
                <pt idx="7">
                  <v>São Paulo - Matriz</v>
                </pt>
                <pt idx="8">
                  <v>São Paulo e Santos</v>
                </pt>
                <pt idx="9">
                  <v>Teresina</v>
                </pt>
                <pt idx="10">
                  <v>Teresina e Mato Grosso do Sul</v>
                </pt>
              </strCache>
            </strRef>
          </cat>
          <val>
            <numRef>
              <f>Praças!$E$4:$E$14</f>
              <numCache>
                <formatCode>"R$ "#,##0;[RED]"(R$ "#,##0\);\-</formatCode>
                <ptCount val="11"/>
                <pt idx="0">
                  <v>428609.746</v>
                </pt>
                <pt idx="1">
                  <v>843574.05</v>
                </pt>
                <pt idx="2">
                  <v>1435329.0441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1928911.38468</v>
                </pt>
                <pt idx="8">
                  <v>1981987.12</v>
                </pt>
                <pt idx="9">
                  <v>0</v>
                </pt>
                <pt idx="10">
                  <v>2064454.323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Meta vs Realizado do Mês — por Praça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Praças!B3</f>
              <strCache>
                <ptCount val="1"/>
                <pt idx="0">
                  <v>META MÊS</v>
                </pt>
              </strCache>
            </strRef>
          </tx>
          <spPr>
            <a:solidFill xmlns:a="http://schemas.openxmlformats.org/drawingml/2006/main">
              <a:srgbClr val="AB4744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Praças!$A$4:$A$14</f>
              <strCache>
                <ptCount val="11"/>
                <pt idx="0">
                  <v>Campinas</v>
                </pt>
                <pt idx="1">
                  <v>Fortaleza</v>
                </pt>
                <pt idx="2">
                  <v>Marília e região</v>
                </pt>
                <pt idx="3">
                  <v>Matriz</v>
                </pt>
                <pt idx="4">
                  <v>Recife</v>
                </pt>
                <pt idx="5">
                  <v>São José do Rio Preto</v>
                </pt>
                <pt idx="6">
                  <v>São José dos Campos e ABC</v>
                </pt>
                <pt idx="7">
                  <v>São Paulo - Matriz</v>
                </pt>
                <pt idx="8">
                  <v>São Paulo e Santos</v>
                </pt>
                <pt idx="9">
                  <v>Teresina</v>
                </pt>
                <pt idx="10">
                  <v>Teresina e Mato Grosso do Sul</v>
                </pt>
              </strCache>
            </strRef>
          </cat>
          <val>
            <numRef>
              <f>Praças!$B$4:$B$14</f>
              <numCache>
                <formatCode>"R$ "#,##0;[RED]"(R$ "#,##0\);\-</formatCode>
                <ptCount val="11"/>
                <pt idx="0">
                  <v>256000</v>
                </pt>
                <pt idx="1">
                  <v>456000</v>
                </pt>
                <pt idx="2">
                  <v>256000</v>
                </pt>
                <pt idx="3">
                  <v>0</v>
                </pt>
                <pt idx="4">
                  <v>200000</v>
                </pt>
                <pt idx="5">
                  <v>256000</v>
                </pt>
                <pt idx="6">
                  <v>198000</v>
                </pt>
                <pt idx="7">
                  <v>672000</v>
                </pt>
                <pt idx="8">
                  <v>256000</v>
                </pt>
                <pt idx="9">
                  <v>0</v>
                </pt>
                <pt idx="10">
                  <v>256000</v>
                </pt>
              </numCache>
            </numRef>
          </val>
        </ser>
        <ser>
          <idx val="1"/>
          <order val="1"/>
          <tx>
            <strRef>
              <f>Praças!C3</f>
              <strCache>
                <ptCount val="1"/>
                <pt idx="0">
                  <v>REALIZADO MÊS</v>
                </pt>
              </strCache>
            </strRef>
          </tx>
          <spPr>
            <a:solidFill xmlns:a="http://schemas.openxmlformats.org/drawingml/2006/main">
              <a:srgbClr val="D09493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Praças!$A$4:$A$14</f>
              <strCache>
                <ptCount val="11"/>
                <pt idx="0">
                  <v>Campinas</v>
                </pt>
                <pt idx="1">
                  <v>Fortaleza</v>
                </pt>
                <pt idx="2">
                  <v>Marília e região</v>
                </pt>
                <pt idx="3">
                  <v>Matriz</v>
                </pt>
                <pt idx="4">
                  <v>Recife</v>
                </pt>
                <pt idx="5">
                  <v>São José do Rio Preto</v>
                </pt>
                <pt idx="6">
                  <v>São José dos Campos e ABC</v>
                </pt>
                <pt idx="7">
                  <v>São Paulo - Matriz</v>
                </pt>
                <pt idx="8">
                  <v>São Paulo e Santos</v>
                </pt>
                <pt idx="9">
                  <v>Teresina</v>
                </pt>
                <pt idx="10">
                  <v>Teresina e Mato Grosso do Sul</v>
                </pt>
              </strCache>
            </strRef>
          </cat>
          <val>
            <numRef>
              <f>Praças!$C$4:$C$14</f>
              <numCache>
                <formatCode>"R$ "#,##0;[RED]"(R$ "#,##0\);\-</formatCode>
                <ptCount val="11"/>
                <pt idx="0">
                  <v>0</v>
                </pt>
                <pt idx="1">
                  <v>0</v>
                </pt>
                <pt idx="2">
                  <v>202499.95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274905.79468</v>
                </pt>
                <pt idx="8">
                  <v>471596</v>
                </pt>
                <pt idx="9">
                  <v>0</v>
                </pt>
                <pt idx="10">
                  <v>0</v>
                </pt>
              </numCache>
            </numRef>
          </val>
        </ser>
        <gapWidth val="150"/>
        <overlap val="0"/>
        <axId val="69885739"/>
        <axId val="34931550"/>
      </barChart>
      <catAx>
        <axId val="6988573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4931550"/>
        <crosses val="autoZero"/>
        <auto val="1"/>
        <lblAlgn val="ctr"/>
        <lblOffset val="100"/>
        <noMultiLvlLbl val="0"/>
      </catAx>
      <valAx>
        <axId val="3493155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R$ &quot;#,##0;[RED]&quot;(R$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988573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Faturamento por Parceiro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Parceiros!C5</f>
              <strCache>
                <ptCount val="1"/>
                <pt idx="0">
                  <v>FATURAMENTO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16A9C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F423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09B4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A528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E8EA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C7C3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F81B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C0504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9BBB5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8064A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4BACC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F7964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AABAD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D8AAA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C5D6AC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4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5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6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7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8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9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0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1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2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3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4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Parceiros!$A$6:$A$20</f>
              <strCache>
                <ptCount val="15"/>
                <pt idx="0">
                  <v>None</v>
                </pt>
                <pt idx="1">
                  <v>None</v>
                </pt>
                <pt idx="2">
                  <v>None</v>
                </pt>
                <pt idx="3">
                  <v>None</v>
                </pt>
                <pt idx="4">
                  <v>None</v>
                </pt>
                <pt idx="5">
                  <v>None</v>
                </pt>
                <pt idx="6">
                  <v>None</v>
                </pt>
                <pt idx="7">
                  <v>None</v>
                </pt>
                <pt idx="8">
                  <v>None</v>
                </pt>
                <pt idx="9">
                  <v>None</v>
                </pt>
                <pt idx="10">
                  <v>None</v>
                </pt>
                <pt idx="11">
                  <v>None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</strCache>
            </strRef>
          </cat>
          <val>
            <numRef>
              <f>Parceiros!$C$6:$C$20</f>
              <numCache>
                <formatCode>General</formatCode>
                <ptCount val="15"/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13</row>
      <rowOff>0</rowOff>
    </from>
    <to>
      <col>7</col>
      <colOff>65160</colOff>
      <row>30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13</row>
      <rowOff>0</rowOff>
    </from>
    <to>
      <col>14</col>
      <colOff>65160</colOff>
      <row>30</row>
      <rowOff>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32</row>
      <rowOff>0</rowOff>
    </from>
    <to>
      <col>7</col>
      <colOff>65160</colOff>
      <row>54</row>
      <rowOff>128520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7</col>
      <colOff>0</colOff>
      <row>32</row>
      <rowOff>0</rowOff>
    </from>
    <to>
      <col>14</col>
      <colOff>65160</colOff>
      <row>54</row>
      <rowOff>128520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0</col>
      <colOff>0</colOff>
      <row>55</row>
      <rowOff>0</rowOff>
    </from>
    <to>
      <col>7</col>
      <colOff>65160</colOff>
      <row>75</row>
      <rowOff>149040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8</col>
      <colOff>0</colOff>
      <row>2</row>
      <rowOff>0</rowOff>
    </from>
    <to>
      <col>20</col>
      <colOff>581400</colOff>
      <row>20</row>
      <rowOff>36720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21</row>
      <rowOff>0</rowOff>
    </from>
    <to>
      <col>20</col>
      <colOff>581400</colOff>
      <row>39</row>
      <rowOff>170280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8</col>
      <colOff>0</colOff>
      <row>40</row>
      <rowOff>0</rowOff>
    </from>
    <to>
      <col>20</col>
      <colOff>581400</colOff>
      <row>58</row>
      <rowOff>170280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10</col>
      <colOff>0</colOff>
      <row>2</row>
      <rowOff>0</rowOff>
    </from>
    <to>
      <col>22</col>
      <colOff>581040</colOff>
      <row>27</row>
      <rowOff>114840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0</colOff>
      <row>31</row>
      <rowOff>0</rowOff>
    </from>
    <to>
      <col>22</col>
      <colOff>581040</colOff>
      <row>57</row>
      <rowOff>86400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7</col>
      <colOff>0</colOff>
      <row>2</row>
      <rowOff>0</rowOff>
    </from>
    <to>
      <col>16</col>
      <colOff>255960</colOff>
      <row>23</row>
      <rowOff>185400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26</row>
      <rowOff>0</rowOff>
    </from>
    <to>
      <col>17</col>
      <colOff>364320</colOff>
      <row>48</row>
      <rowOff>128520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 editAs="oneCell">
    <from>
      <col>6</col>
      <colOff>0</colOff>
      <row>4</row>
      <rowOff>0</rowOff>
    </from>
    <to>
      <col>15</col>
      <colOff>255600</colOff>
      <row>25</row>
      <rowOff>185400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Dados" displayName="tblDados" ref="A1:M269" headerRowCount="1" totalsRowCount="0" totalsRowShown="0">
  <autoFilter ref="A1:M269"/>
  <tableColumns count="13">
    <tableColumn id="1" name="HUNTER"/>
    <tableColumn id="2" name="PRAÇA"/>
    <tableColumn id="3" name="PARCEIRO"/>
    <tableColumn id="4" name="EMPRESA"/>
    <tableColumn id="5" name="PRODUTO"/>
    <tableColumn id="6" name="CONTRATO"/>
    <tableColumn id="7" name="CRÉDITO"/>
    <tableColumn id="8" name="HONORÁRIOS"/>
    <tableColumn id="9" name="FATURAMENTO"/>
    <tableColumn id="10" name="STATUS"/>
    <tableColumn id="11" name="MÊS"/>
    <tableColumn id="12" name="MÊS ASSINADO"/>
    <tableColumn id="13" name="TEMPERATUR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7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48" min="1" max="14"/>
  </cols>
  <sheetData>
    <row r="1" ht="27.75" customHeight="1" s="49">
      <c r="A1" s="50" t="inlineStr">
        <is>
          <t>DASHBOARD COMERCIAL 2026</t>
        </is>
      </c>
    </row>
    <row r="2" ht="27.75" customHeight="1" s="49"/>
    <row r="3" ht="17.25" customHeight="1" s="49">
      <c r="A3" s="51" t="inlineStr">
        <is>
          <t>Mês corrente:</t>
        </is>
      </c>
      <c r="B3" s="52">
        <f>Parâmetros!B7</f>
        <v/>
      </c>
      <c r="C3" s="51" t="inlineStr">
        <is>
          <t>Dias úteis:</t>
        </is>
      </c>
      <c r="D3" s="53">
        <f>Parâmetros!B4 &amp; " / " &amp; Parâmetros!B5</f>
        <v/>
      </c>
    </row>
    <row r="5" ht="21.75" customHeight="1" s="49">
      <c r="A5" s="54" t="inlineStr">
        <is>
          <t>META DO MÊS</t>
        </is>
      </c>
      <c r="B5" s="55" t="n"/>
      <c r="C5" s="55" t="n"/>
      <c r="D5" s="56" t="inlineStr">
        <is>
          <t>REALIZADO MÊS</t>
        </is>
      </c>
      <c r="E5" s="57" t="n"/>
      <c r="F5" s="57" t="n"/>
      <c r="G5" s="58" t="inlineStr">
        <is>
          <t>% ATINGIDO MÊS</t>
        </is>
      </c>
      <c r="H5" s="59" t="n"/>
      <c r="I5" s="59" t="n"/>
      <c r="J5" s="60" t="inlineStr">
        <is>
          <t>PROJEÇÃO MÊS</t>
        </is>
      </c>
      <c r="K5" s="61" t="n"/>
      <c r="L5" s="61" t="n"/>
    </row>
    <row r="6" ht="21.75" customHeight="1" s="49">
      <c r="A6" s="62">
        <f>INDEX(Metas!B:M,19,Parâmetros!B3)</f>
        <v/>
      </c>
      <c r="B6" s="63" t="n"/>
      <c r="C6" s="63" t="n"/>
      <c r="D6" s="64">
        <f>INDEX('Realizado por Hunter'!B:M,20,Parâmetros!B3)</f>
        <v/>
      </c>
      <c r="E6" s="65" t="n"/>
      <c r="F6" s="65" t="n"/>
      <c r="G6" s="66">
        <f>IFERROR(INDEX('Realizado por Hunter'!B:M,20,Parâmetros!B3)/INDEX(Metas!B:M,19,Parâmetros!B3),0)</f>
        <v/>
      </c>
      <c r="H6" s="67" t="n"/>
      <c r="I6" s="67" t="n"/>
      <c r="J6" s="68">
        <f>IFERROR(INDEX('Realizado por Hunter'!B:M,20,Parâmetros!B3)/Parâmetros!B4*Parâmetros!B5,0)</f>
        <v/>
      </c>
      <c r="K6" s="69" t="n"/>
      <c r="L6" s="69" t="n"/>
    </row>
    <row r="7" ht="21.75" customHeight="1" s="49">
      <c r="A7" s="70" t="n"/>
      <c r="D7" s="71" t="n"/>
      <c r="G7" s="72" t="n"/>
      <c r="J7" s="73" t="n"/>
    </row>
    <row r="9" ht="21.75" customHeight="1" s="49">
      <c r="A9" s="54" t="inlineStr">
        <is>
          <t>META ACUM. ANO</t>
        </is>
      </c>
      <c r="B9" s="55" t="n"/>
      <c r="C9" s="55" t="n"/>
      <c r="D9" s="56" t="inlineStr">
        <is>
          <t>REALIZADO ACUM.</t>
        </is>
      </c>
      <c r="E9" s="57" t="n"/>
      <c r="F9" s="57" t="n"/>
      <c r="G9" s="58" t="inlineStr">
        <is>
          <t>% ATINGIDO ACUM.</t>
        </is>
      </c>
      <c r="H9" s="59" t="n"/>
      <c r="I9" s="59" t="n"/>
      <c r="J9" s="74" t="inlineStr">
        <is>
          <t>META TOTAL ANO</t>
        </is>
      </c>
      <c r="K9" s="75" t="n"/>
      <c r="L9" s="75" t="n"/>
    </row>
    <row r="10" ht="21.75" customHeight="1" s="49">
      <c r="A10" s="62">
        <f>IFERROR(SUM(OFFSET(Metas!B19,0,0,1,Parâmetros!B3)),0)</f>
        <v/>
      </c>
      <c r="B10" s="63" t="n"/>
      <c r="C10" s="63" t="n"/>
      <c r="D10" s="64">
        <f>IFERROR(SUM(OFFSET('Realizado por Hunter'!B20,0,0,1,Parâmetros!B3)),0)</f>
        <v/>
      </c>
      <c r="E10" s="65" t="n"/>
      <c r="F10" s="65" t="n"/>
      <c r="G10" s="66">
        <f>IFERROR(SUM(OFFSET('Realizado por Hunter'!B20,0,0,1,Parâmetros!B3))/SUM(OFFSET(Metas!B19,0,0,1,Parâmetros!B3)),0)</f>
        <v/>
      </c>
      <c r="H10" s="67" t="n"/>
      <c r="I10" s="67" t="n"/>
      <c r="J10" s="76">
        <f>Metas!N19</f>
        <v/>
      </c>
      <c r="K10" s="77" t="n"/>
      <c r="L10" s="77" t="n"/>
    </row>
    <row r="11" ht="21.75" customHeight="1" s="49">
      <c r="A11" s="70" t="n"/>
      <c r="D11" s="71" t="n"/>
      <c r="G11" s="72" t="n"/>
      <c r="J11" s="78" t="n"/>
    </row>
    <row r="78" ht="15" customHeight="1" s="49">
      <c r="A78" s="79" t="inlineStr">
        <is>
          <t>ℹ Use a aba 'Parâmetros' para alterar mês corrente e dias úteis. Os indicadores se recalculam automaticamente. Para alimentar 'Parceiros', preencha a coluna C da aba 'Base de Dados'.</t>
        </is>
      </c>
    </row>
    <row r="79" ht="15" customHeight="1" s="49"/>
  </sheetData>
  <mergeCells count="18">
    <mergeCell ref="A1:N2"/>
    <mergeCell ref="A6:C7"/>
    <mergeCell ref="G6:I7"/>
    <mergeCell ref="D6:F7"/>
    <mergeCell ref="J5:L5"/>
    <mergeCell ref="J6:L7"/>
    <mergeCell ref="D5:F5"/>
    <mergeCell ref="A5:C5"/>
    <mergeCell ref="G5:I5"/>
    <mergeCell ref="A10:C11"/>
    <mergeCell ref="G10:I11"/>
    <mergeCell ref="J10:L11"/>
    <mergeCell ref="A78:N79"/>
    <mergeCell ref="D10:F11"/>
    <mergeCell ref="A9:C9"/>
    <mergeCell ref="G9:I9"/>
    <mergeCell ref="D9:F9"/>
    <mergeCell ref="J9:L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8" customWidth="1" style="48" min="2" max="7"/>
  </cols>
  <sheetData>
    <row r="1" ht="17.25" customHeight="1" s="49">
      <c r="A1" s="80" t="inlineStr">
        <is>
          <t>META vs REALIZADO 2026 — COM PROJEÇÃO</t>
        </is>
      </c>
    </row>
    <row r="3" ht="25.5" customHeight="1" s="49">
      <c r="A3" s="81" t="inlineStr">
        <is>
          <t>MÊS</t>
        </is>
      </c>
      <c r="B3" s="81" t="inlineStr">
        <is>
          <t>META</t>
        </is>
      </c>
      <c r="C3" s="81" t="inlineStr">
        <is>
          <t>REALIZADO</t>
        </is>
      </c>
      <c r="D3" s="81" t="inlineStr">
        <is>
          <t>% ATINGIDO</t>
        </is>
      </c>
      <c r="E3" s="81" t="inlineStr">
        <is>
          <t>ACUM. META</t>
        </is>
      </c>
      <c r="F3" s="81" t="inlineStr">
        <is>
          <t>ACUM. REALIZADO</t>
        </is>
      </c>
      <c r="G3" s="81" t="inlineStr">
        <is>
          <t>% ACUM.</t>
        </is>
      </c>
    </row>
    <row r="4" ht="15" customHeight="1" s="49">
      <c r="A4" s="82" t="inlineStr">
        <is>
          <t>JAN</t>
        </is>
      </c>
      <c r="B4" s="83">
        <f>Metas!B19</f>
        <v/>
      </c>
      <c r="C4" s="83">
        <f>'Realizado por Hunter'!B20</f>
        <v/>
      </c>
      <c r="D4" s="84">
        <f>IFERROR(C4/B4,0)</f>
        <v/>
      </c>
      <c r="E4" s="83">
        <f>B4</f>
        <v/>
      </c>
      <c r="F4" s="83">
        <f>C4</f>
        <v/>
      </c>
      <c r="G4" s="84">
        <f>IFERROR(F4/E4,0)</f>
        <v/>
      </c>
    </row>
    <row r="5" ht="15" customHeight="1" s="49">
      <c r="A5" s="82" t="inlineStr">
        <is>
          <t>FEV</t>
        </is>
      </c>
      <c r="B5" s="83">
        <f>Metas!C19</f>
        <v/>
      </c>
      <c r="C5" s="83">
        <f>'Realizado por Hunter'!C20</f>
        <v/>
      </c>
      <c r="D5" s="84">
        <f>IFERROR(C5/B5,0)</f>
        <v/>
      </c>
      <c r="E5" s="83">
        <f>E4+B5</f>
        <v/>
      </c>
      <c r="F5" s="83">
        <f>F4+C5</f>
        <v/>
      </c>
      <c r="G5" s="84">
        <f>IFERROR(F5/E5,0)</f>
        <v/>
      </c>
    </row>
    <row r="6" ht="15" customHeight="1" s="49">
      <c r="A6" s="82" t="inlineStr">
        <is>
          <t>MAR</t>
        </is>
      </c>
      <c r="B6" s="83">
        <f>Metas!D19</f>
        <v/>
      </c>
      <c r="C6" s="83">
        <f>'Realizado por Hunter'!D20</f>
        <v/>
      </c>
      <c r="D6" s="84">
        <f>IFERROR(C6/B6,0)</f>
        <v/>
      </c>
      <c r="E6" s="83">
        <f>E5+B6</f>
        <v/>
      </c>
      <c r="F6" s="83">
        <f>F5+C6</f>
        <v/>
      </c>
      <c r="G6" s="84">
        <f>IFERROR(F6/E6,0)</f>
        <v/>
      </c>
    </row>
    <row r="7" ht="15" customHeight="1" s="49">
      <c r="A7" s="82" t="inlineStr">
        <is>
          <t>ABR</t>
        </is>
      </c>
      <c r="B7" s="83">
        <f>Metas!E19</f>
        <v/>
      </c>
      <c r="C7" s="83">
        <f>'Realizado por Hunter'!E20</f>
        <v/>
      </c>
      <c r="D7" s="84">
        <f>IFERROR(C7/B7,0)</f>
        <v/>
      </c>
      <c r="E7" s="83">
        <f>E6+B7</f>
        <v/>
      </c>
      <c r="F7" s="83">
        <f>F6+C7</f>
        <v/>
      </c>
      <c r="G7" s="84">
        <f>IFERROR(F7/E7,0)</f>
        <v/>
      </c>
    </row>
    <row r="8" ht="15" customHeight="1" s="49">
      <c r="A8" s="82" t="inlineStr">
        <is>
          <t>MAI</t>
        </is>
      </c>
      <c r="B8" s="83">
        <f>Metas!F19</f>
        <v/>
      </c>
      <c r="C8" s="83">
        <f>'Realizado por Hunter'!F20</f>
        <v/>
      </c>
      <c r="D8" s="84">
        <f>IFERROR(C8/B8,0)</f>
        <v/>
      </c>
      <c r="E8" s="83">
        <f>E7+B8</f>
        <v/>
      </c>
      <c r="F8" s="83">
        <f>F7+C8</f>
        <v/>
      </c>
      <c r="G8" s="84">
        <f>IFERROR(F8/E8,0)</f>
        <v/>
      </c>
    </row>
    <row r="9" ht="15" customHeight="1" s="49">
      <c r="A9" s="82" t="inlineStr">
        <is>
          <t>JUN</t>
        </is>
      </c>
      <c r="B9" s="83">
        <f>Metas!G19</f>
        <v/>
      </c>
      <c r="C9" s="83">
        <f>'Realizado por Hunter'!G20</f>
        <v/>
      </c>
      <c r="D9" s="84">
        <f>IFERROR(C9/B9,0)</f>
        <v/>
      </c>
      <c r="E9" s="83">
        <f>E8+B9</f>
        <v/>
      </c>
      <c r="F9" s="83">
        <f>F8+C9</f>
        <v/>
      </c>
      <c r="G9" s="84">
        <f>IFERROR(F9/E9,0)</f>
        <v/>
      </c>
    </row>
    <row r="10" ht="15" customHeight="1" s="49">
      <c r="A10" s="82" t="inlineStr">
        <is>
          <t>JUL</t>
        </is>
      </c>
      <c r="B10" s="83">
        <f>Metas!H19</f>
        <v/>
      </c>
      <c r="C10" s="83">
        <f>'Realizado por Hunter'!H20</f>
        <v/>
      </c>
      <c r="D10" s="84">
        <f>IFERROR(C10/B10,0)</f>
        <v/>
      </c>
      <c r="E10" s="83">
        <f>E9+B10</f>
        <v/>
      </c>
      <c r="F10" s="83">
        <f>F9+C10</f>
        <v/>
      </c>
      <c r="G10" s="84">
        <f>IFERROR(F10/E10,0)</f>
        <v/>
      </c>
    </row>
    <row r="11" ht="15" customHeight="1" s="49">
      <c r="A11" s="82" t="inlineStr">
        <is>
          <t>AGO</t>
        </is>
      </c>
      <c r="B11" s="83">
        <f>Metas!I19</f>
        <v/>
      </c>
      <c r="C11" s="83">
        <f>'Realizado por Hunter'!I20</f>
        <v/>
      </c>
      <c r="D11" s="84">
        <f>IFERROR(C11/B11,0)</f>
        <v/>
      </c>
      <c r="E11" s="83">
        <f>E10+B11</f>
        <v/>
      </c>
      <c r="F11" s="83">
        <f>F10+C11</f>
        <v/>
      </c>
      <c r="G11" s="84">
        <f>IFERROR(F11/E11,0)</f>
        <v/>
      </c>
    </row>
    <row r="12" ht="15" customHeight="1" s="49">
      <c r="A12" s="82" t="inlineStr">
        <is>
          <t>SET</t>
        </is>
      </c>
      <c r="B12" s="83">
        <f>Metas!J19</f>
        <v/>
      </c>
      <c r="C12" s="83">
        <f>'Realizado por Hunter'!J20</f>
        <v/>
      </c>
      <c r="D12" s="84">
        <f>IFERROR(C12/B12,0)</f>
        <v/>
      </c>
      <c r="E12" s="83">
        <f>E11+B12</f>
        <v/>
      </c>
      <c r="F12" s="83">
        <f>F11+C12</f>
        <v/>
      </c>
      <c r="G12" s="84">
        <f>IFERROR(F12/E12,0)</f>
        <v/>
      </c>
    </row>
    <row r="13" ht="15" customHeight="1" s="49">
      <c r="A13" s="82" t="inlineStr">
        <is>
          <t>OUT</t>
        </is>
      </c>
      <c r="B13" s="83">
        <f>Metas!K19</f>
        <v/>
      </c>
      <c r="C13" s="83">
        <f>'Realizado por Hunter'!K20</f>
        <v/>
      </c>
      <c r="D13" s="84">
        <f>IFERROR(C13/B13,0)</f>
        <v/>
      </c>
      <c r="E13" s="83">
        <f>E12+B13</f>
        <v/>
      </c>
      <c r="F13" s="83">
        <f>F12+C13</f>
        <v/>
      </c>
      <c r="G13" s="84">
        <f>IFERROR(F13/E13,0)</f>
        <v/>
      </c>
    </row>
    <row r="14" ht="15" customHeight="1" s="49">
      <c r="A14" s="82" t="inlineStr">
        <is>
          <t>NOV</t>
        </is>
      </c>
      <c r="B14" s="83">
        <f>Metas!L19</f>
        <v/>
      </c>
      <c r="C14" s="83">
        <f>'Realizado por Hunter'!L20</f>
        <v/>
      </c>
      <c r="D14" s="84">
        <f>IFERROR(C14/B14,0)</f>
        <v/>
      </c>
      <c r="E14" s="83">
        <f>E13+B14</f>
        <v/>
      </c>
      <c r="F14" s="83">
        <f>F13+C14</f>
        <v/>
      </c>
      <c r="G14" s="84">
        <f>IFERROR(F14/E14,0)</f>
        <v/>
      </c>
    </row>
    <row r="15" ht="15" customHeight="1" s="49">
      <c r="A15" s="82" t="inlineStr">
        <is>
          <t>DEZ</t>
        </is>
      </c>
      <c r="B15" s="83">
        <f>Metas!M19</f>
        <v/>
      </c>
      <c r="C15" s="83">
        <f>'Realizado por Hunter'!M20</f>
        <v/>
      </c>
      <c r="D15" s="84">
        <f>IFERROR(C15/B15,0)</f>
        <v/>
      </c>
      <c r="E15" s="83">
        <f>E14+B15</f>
        <v/>
      </c>
      <c r="F15" s="83">
        <f>F14+C15</f>
        <v/>
      </c>
      <c r="G15" s="84">
        <f>IFERROR(F15/E15,0)</f>
        <v/>
      </c>
    </row>
    <row r="16" ht="15" customHeight="1" s="49">
      <c r="A16" s="85" t="inlineStr">
        <is>
          <t>TOTAL ANO</t>
        </is>
      </c>
      <c r="B16" s="86">
        <f>SUM(B4:B15)</f>
        <v/>
      </c>
      <c r="C16" s="86">
        <f>SUM(C4:C15)</f>
        <v/>
      </c>
      <c r="D16" s="87">
        <f>IFERROR(C16/B16,0)</f>
        <v/>
      </c>
      <c r="E16" s="88" t="n"/>
      <c r="F16" s="88" t="n"/>
      <c r="G16" s="88" t="n"/>
    </row>
    <row r="19" ht="15" customHeight="1" s="49">
      <c r="A19" s="89" t="inlineStr">
        <is>
          <t>PROJEÇÃO DO MÊS CORRENTE</t>
        </is>
      </c>
    </row>
    <row r="20" ht="15" customHeight="1" s="49">
      <c r="A20" s="90" t="inlineStr">
        <is>
          <t>Mês de referência</t>
        </is>
      </c>
      <c r="B20" s="82">
        <f>Parâmetros!B7</f>
        <v/>
      </c>
    </row>
    <row r="21" ht="15" customHeight="1" s="49">
      <c r="A21" s="90" t="inlineStr">
        <is>
          <t>Meta do mês (R$)</t>
        </is>
      </c>
      <c r="B21" s="91">
        <f>INDEX(B4:B15,Parâmetros!B3)</f>
        <v/>
      </c>
    </row>
    <row r="22" ht="15" customHeight="1" s="49">
      <c r="A22" s="90" t="inlineStr">
        <is>
          <t>Realizado até hoje (R$)</t>
        </is>
      </c>
      <c r="B22" s="91">
        <f>INDEX(C4:C15,Parâmetros!B3)</f>
        <v/>
      </c>
    </row>
    <row r="23" ht="15" customHeight="1" s="49">
      <c r="A23" s="90" t="inlineStr">
        <is>
          <t>% Atingido até hoje</t>
        </is>
      </c>
      <c r="B23" s="92">
        <f>IFERROR(B22/B21,0)</f>
        <v/>
      </c>
    </row>
    <row r="24" ht="15" customHeight="1" s="49">
      <c r="A24" s="90" t="inlineStr">
        <is>
          <t>Dias úteis decorridos</t>
        </is>
      </c>
      <c r="B24" s="93">
        <f>Parâmetros!B4</f>
        <v/>
      </c>
    </row>
    <row r="25" ht="15" customHeight="1" s="49">
      <c r="A25" s="90" t="inlineStr">
        <is>
          <t>Dias úteis no mês</t>
        </is>
      </c>
      <c r="B25" s="93">
        <f>Parâmetros!B5</f>
        <v/>
      </c>
    </row>
    <row r="26" ht="15" customHeight="1" s="49">
      <c r="A26" s="90" t="inlineStr">
        <is>
          <t>Projeção fim de mês (R$)</t>
        </is>
      </c>
      <c r="B26" s="91">
        <f>IFERROR(B22/B24*B25,0)</f>
        <v/>
      </c>
    </row>
    <row r="27" ht="15" customHeight="1" s="49">
      <c r="A27" s="90" t="inlineStr">
        <is>
          <t>Gap p/ meta (R$)</t>
        </is>
      </c>
      <c r="B27" s="91">
        <f>B26-B21</f>
        <v/>
      </c>
    </row>
    <row r="28" ht="15" customHeight="1" s="49">
      <c r="A28" s="90" t="inlineStr">
        <is>
          <t>% Projetado da meta</t>
        </is>
      </c>
      <c r="B28" s="92">
        <f>IFERROR(B26/B21,0)</f>
        <v/>
      </c>
    </row>
  </sheetData>
  <mergeCells count="2">
    <mergeCell ref="A1:F1"/>
    <mergeCell ref="A19:D19"/>
  </mergeCells>
  <conditionalFormatting sqref="D4:D15">
    <cfRule type="colorScale" priority="2">
      <colorScale>
        <cfvo type="num" val="0"/>
        <cfvo type="num" val="0.7"/>
        <cfvo type="num" val="1.2"/>
        <color rgb="FFF8696B"/>
        <color rgb="FFFFEB84"/>
        <color rgb="FF63BE7B"/>
      </colorScale>
    </cfRule>
  </conditionalFormatting>
  <conditionalFormatting sqref="G4:G15">
    <cfRule type="colorScale" priority="3">
      <colorScale>
        <cfvo type="num" val="0"/>
        <cfvo type="num" val="0.7"/>
        <cfvo type="num" val="1.2"/>
        <color rgb="FFF8696B"/>
        <color rgb="FFFFEB84"/>
        <color rgb="FF63BE7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8" min="1" max="1"/>
    <col width="28" customWidth="1" style="48" min="2" max="2"/>
    <col width="17" customWidth="1" style="48" min="3" max="9"/>
  </cols>
  <sheetData>
    <row r="1" ht="17.25" customHeight="1" s="49">
      <c r="A1" s="80" t="inlineStr">
        <is>
          <t>META vs REALIZADO POR HUNTER (Mês corrente)</t>
        </is>
      </c>
    </row>
    <row r="3" ht="27.75" customHeight="1" s="49">
      <c r="A3" s="81" t="inlineStr">
        <is>
          <t>HUNTER</t>
        </is>
      </c>
      <c r="B3" s="81" t="inlineStr">
        <is>
          <t>PRAÇA</t>
        </is>
      </c>
      <c r="C3" s="81" t="inlineStr">
        <is>
          <t>META MÊS</t>
        </is>
      </c>
      <c r="D3" s="81" t="inlineStr">
        <is>
          <t>REALIZADO MÊS</t>
        </is>
      </c>
      <c r="E3" s="81" t="inlineStr">
        <is>
          <t>% ATING. MÊS</t>
        </is>
      </c>
      <c r="F3" s="81" t="inlineStr">
        <is>
          <t>META ACUM.</t>
        </is>
      </c>
      <c r="G3" s="81" t="inlineStr">
        <is>
          <t>REAL. ACUM.</t>
        </is>
      </c>
      <c r="H3" s="81" t="inlineStr">
        <is>
          <t>% ATING. ACUM.</t>
        </is>
      </c>
      <c r="I3" s="81" t="inlineStr">
        <is>
          <t>PROJEÇÃO MÊS</t>
        </is>
      </c>
    </row>
    <row r="4" ht="15" customHeight="1" s="49">
      <c r="A4" s="94" t="inlineStr">
        <is>
          <t>ANDERSON</t>
        </is>
      </c>
      <c r="B4" s="95" t="inlineStr">
        <is>
          <t>Fortaleza</t>
        </is>
      </c>
      <c r="C4" s="83">
        <f>IFERROR(INDEX(Metas!B:M,MATCH(A4,Metas!A:A,0),Parâmetros!B3),0)</f>
        <v/>
      </c>
      <c r="D4" s="83">
        <f>IFERROR(INDEX('Realizado por Hunter'!B:M,MATCH(A4,'Realizado por Hunter'!A:A,0),Parâmetros!B3),0)</f>
        <v/>
      </c>
      <c r="E4" s="84">
        <f>IFERROR(D4/C4,0)</f>
        <v/>
      </c>
      <c r="F4" s="83">
        <f>IFERROR(SUM(OFFSET(Metas!A1,MATCH(A4,Metas!A:A,0)-1,1,1,Parâmetros!B3)),0)</f>
        <v/>
      </c>
      <c r="G4" s="83">
        <f>IFERROR(SUM(OFFSET('Realizado por Hunter'!A1,MATCH(A4,'Realizado por Hunter'!A:A,0)-1,1,1,Parâmetros!B3)),0)</f>
        <v/>
      </c>
      <c r="H4" s="84">
        <f>IFERROR(G4/F4,0)</f>
        <v/>
      </c>
      <c r="I4" s="83">
        <f>IFERROR(D4/Parâmetros!B4*Parâmetros!B5,0)</f>
        <v/>
      </c>
    </row>
    <row r="5" ht="15" customHeight="1" s="49">
      <c r="A5" s="94" t="inlineStr">
        <is>
          <t>ARTHUR</t>
        </is>
      </c>
      <c r="B5" s="95" t="inlineStr">
        <is>
          <t>Matriz</t>
        </is>
      </c>
      <c r="C5" s="83">
        <f>IFERROR(INDEX(Metas!B:M,MATCH(A5,Metas!A:A,0),Parâmetros!B3),0)</f>
        <v/>
      </c>
      <c r="D5" s="83">
        <f>IFERROR(INDEX('Realizado por Hunter'!B:M,MATCH(A5,'Realizado por Hunter'!A:A,0),Parâmetros!B3),0)</f>
        <v/>
      </c>
      <c r="E5" s="84">
        <f>IFERROR(D5/C5,0)</f>
        <v/>
      </c>
      <c r="F5" s="83">
        <f>IFERROR(SUM(OFFSET(Metas!A1,MATCH(A5,Metas!A:A,0)-1,1,1,Parâmetros!B3)),0)</f>
        <v/>
      </c>
      <c r="G5" s="83">
        <f>IFERROR(SUM(OFFSET('Realizado por Hunter'!A1,MATCH(A5,'Realizado por Hunter'!A:A,0)-1,1,1,Parâmetros!B3)),0)</f>
        <v/>
      </c>
      <c r="H5" s="84">
        <f>IFERROR(G5/F5,0)</f>
        <v/>
      </c>
      <c r="I5" s="83">
        <f>IFERROR(D5/Parâmetros!B4*Parâmetros!B5,0)</f>
        <v/>
      </c>
    </row>
    <row r="6" ht="15" customHeight="1" s="49">
      <c r="A6" s="94" t="inlineStr">
        <is>
          <t>BRUNA</t>
        </is>
      </c>
      <c r="B6" s="95" t="inlineStr">
        <is>
          <t>São Paulo e Santos</t>
        </is>
      </c>
      <c r="C6" s="83">
        <f>IFERROR(INDEX(Metas!B:M,MATCH(A6,Metas!A:A,0),Parâmetros!B3),0)</f>
        <v/>
      </c>
      <c r="D6" s="83">
        <f>IFERROR(INDEX('Realizado por Hunter'!B:M,MATCH(A6,'Realizado por Hunter'!A:A,0),Parâmetros!B3),0)</f>
        <v/>
      </c>
      <c r="E6" s="84">
        <f>IFERROR(D6/C6,0)</f>
        <v/>
      </c>
      <c r="F6" s="83">
        <f>IFERROR(SUM(OFFSET(Metas!A1,MATCH(A6,Metas!A:A,0)-1,1,1,Parâmetros!B3)),0)</f>
        <v/>
      </c>
      <c r="G6" s="83">
        <f>IFERROR(SUM(OFFSET('Realizado por Hunter'!A1,MATCH(A6,'Realizado por Hunter'!A:A,0)-1,1,1,Parâmetros!B3)),0)</f>
        <v/>
      </c>
      <c r="H6" s="84">
        <f>IFERROR(G6/F6,0)</f>
        <v/>
      </c>
      <c r="I6" s="83">
        <f>IFERROR(D6/Parâmetros!B4*Parâmetros!B5,0)</f>
        <v/>
      </c>
    </row>
    <row r="7" ht="15" customHeight="1" s="49">
      <c r="A7" s="94" t="inlineStr">
        <is>
          <t>CINTHIA</t>
        </is>
      </c>
      <c r="B7" s="95" t="inlineStr">
        <is>
          <t>Fortaleza</t>
        </is>
      </c>
      <c r="C7" s="83">
        <f>IFERROR(INDEX(Metas!B:M,MATCH(A7,Metas!A:A,0),Parâmetros!B3),0)</f>
        <v/>
      </c>
      <c r="D7" s="83">
        <f>IFERROR(INDEX('Realizado por Hunter'!B:M,MATCH(A7,'Realizado por Hunter'!A:A,0),Parâmetros!B3),0)</f>
        <v/>
      </c>
      <c r="E7" s="84">
        <f>IFERROR(D7/C7,0)</f>
        <v/>
      </c>
      <c r="F7" s="83">
        <f>IFERROR(SUM(OFFSET(Metas!A1,MATCH(A7,Metas!A:A,0)-1,1,1,Parâmetros!B3)),0)</f>
        <v/>
      </c>
      <c r="G7" s="83">
        <f>IFERROR(SUM(OFFSET('Realizado por Hunter'!A1,MATCH(A7,'Realizado por Hunter'!A:A,0)-1,1,1,Parâmetros!B3)),0)</f>
        <v/>
      </c>
      <c r="H7" s="84">
        <f>IFERROR(G7/F7,0)</f>
        <v/>
      </c>
      <c r="I7" s="83">
        <f>IFERROR(D7/Parâmetros!B4*Parâmetros!B5,0)</f>
        <v/>
      </c>
    </row>
    <row r="8" ht="15" customHeight="1" s="49">
      <c r="A8" s="94" t="inlineStr">
        <is>
          <t>DIMAS</t>
        </is>
      </c>
      <c r="B8" s="95" t="inlineStr">
        <is>
          <t>Teresina e Mato Grosso do Sul</t>
        </is>
      </c>
      <c r="C8" s="83">
        <f>IFERROR(INDEX(Metas!B:M,MATCH(A8,Metas!A:A,0),Parâmetros!B3),0)</f>
        <v/>
      </c>
      <c r="D8" s="83">
        <f>IFERROR(INDEX('Realizado por Hunter'!B:M,MATCH(A8,'Realizado por Hunter'!A:A,0),Parâmetros!B3),0)</f>
        <v/>
      </c>
      <c r="E8" s="84">
        <f>IFERROR(D8/C8,0)</f>
        <v/>
      </c>
      <c r="F8" s="83">
        <f>IFERROR(SUM(OFFSET(Metas!A1,MATCH(A8,Metas!A:A,0)-1,1,1,Parâmetros!B3)),0)</f>
        <v/>
      </c>
      <c r="G8" s="83">
        <f>IFERROR(SUM(OFFSET('Realizado por Hunter'!A1,MATCH(A8,'Realizado por Hunter'!A:A,0)-1,1,1,Parâmetros!B3)),0)</f>
        <v/>
      </c>
      <c r="H8" s="84">
        <f>IFERROR(G8/F8,0)</f>
        <v/>
      </c>
      <c r="I8" s="83">
        <f>IFERROR(D8/Parâmetros!B4*Parâmetros!B5,0)</f>
        <v/>
      </c>
    </row>
    <row r="9" ht="15" customHeight="1" s="49">
      <c r="A9" s="94" t="inlineStr">
        <is>
          <t>FORTALEZA 2</t>
        </is>
      </c>
      <c r="B9" s="95" t="inlineStr">
        <is>
          <t>Fortaleza</t>
        </is>
      </c>
      <c r="C9" s="83">
        <f>IFERROR(INDEX(Metas!B:M,MATCH(A9,Metas!A:A,0),Parâmetros!B3),0)</f>
        <v/>
      </c>
      <c r="D9" s="83">
        <f>IFERROR(INDEX('Realizado por Hunter'!B:M,MATCH(A9,'Realizado por Hunter'!A:A,0),Parâmetros!B3),0)</f>
        <v/>
      </c>
      <c r="E9" s="84">
        <f>IFERROR(D9/C9,0)</f>
        <v/>
      </c>
      <c r="F9" s="83">
        <f>IFERROR(SUM(OFFSET(Metas!A1,MATCH(A9,Metas!A:A,0)-1,1,1,Parâmetros!B3)),0)</f>
        <v/>
      </c>
      <c r="G9" s="83">
        <f>IFERROR(SUM(OFFSET('Realizado por Hunter'!A1,MATCH(A9,'Realizado por Hunter'!A:A,0)-1,1,1,Parâmetros!B3)),0)</f>
        <v/>
      </c>
      <c r="H9" s="84">
        <f>IFERROR(G9/F9,0)</f>
        <v/>
      </c>
      <c r="I9" s="83">
        <f>IFERROR(D9/Parâmetros!B4*Parâmetros!B5,0)</f>
        <v/>
      </c>
    </row>
    <row r="10" ht="15" customHeight="1" s="49">
      <c r="A10" s="94" t="inlineStr">
        <is>
          <t>HEITOR</t>
        </is>
      </c>
      <c r="B10" s="95" t="inlineStr">
        <is>
          <t>Campinas</t>
        </is>
      </c>
      <c r="C10" s="83">
        <f>IFERROR(INDEX(Metas!B:M,MATCH(A10,Metas!A:A,0),Parâmetros!B3),0)</f>
        <v/>
      </c>
      <c r="D10" s="83">
        <f>IFERROR(INDEX('Realizado por Hunter'!B:M,MATCH(A10,'Realizado por Hunter'!A:A,0),Parâmetros!B3),0)</f>
        <v/>
      </c>
      <c r="E10" s="84">
        <f>IFERROR(D10/C10,0)</f>
        <v/>
      </c>
      <c r="F10" s="83">
        <f>IFERROR(SUM(OFFSET(Metas!A1,MATCH(A10,Metas!A:A,0)-1,1,1,Parâmetros!B3)),0)</f>
        <v/>
      </c>
      <c r="G10" s="83">
        <f>IFERROR(SUM(OFFSET('Realizado por Hunter'!A1,MATCH(A10,'Realizado por Hunter'!A:A,0)-1,1,1,Parâmetros!B3)),0)</f>
        <v/>
      </c>
      <c r="H10" s="84">
        <f>IFERROR(G10/F10,0)</f>
        <v/>
      </c>
      <c r="I10" s="83">
        <f>IFERROR(D10/Parâmetros!B4*Parâmetros!B5,0)</f>
        <v/>
      </c>
    </row>
    <row r="11" ht="15" customHeight="1" s="49">
      <c r="A11" s="94" t="inlineStr">
        <is>
          <t>HUDSON</t>
        </is>
      </c>
      <c r="B11" s="95" t="inlineStr">
        <is>
          <t>São Paulo - Matriz</t>
        </is>
      </c>
      <c r="C11" s="83">
        <f>IFERROR(INDEX(Metas!B:M,MATCH(A11,Metas!A:A,0),Parâmetros!B3),0)</f>
        <v/>
      </c>
      <c r="D11" s="83">
        <f>IFERROR(INDEX('Realizado por Hunter'!B:M,MATCH(A11,'Realizado por Hunter'!A:A,0),Parâmetros!B3),0)</f>
        <v/>
      </c>
      <c r="E11" s="84">
        <f>IFERROR(D11/C11,0)</f>
        <v/>
      </c>
      <c r="F11" s="83">
        <f>IFERROR(SUM(OFFSET(Metas!A1,MATCH(A11,Metas!A:A,0)-1,1,1,Parâmetros!B3)),0)</f>
        <v/>
      </c>
      <c r="G11" s="83">
        <f>IFERROR(SUM(OFFSET('Realizado por Hunter'!A1,MATCH(A11,'Realizado por Hunter'!A:A,0)-1,1,1,Parâmetros!B3)),0)</f>
        <v/>
      </c>
      <c r="H11" s="84">
        <f>IFERROR(G11/F11,0)</f>
        <v/>
      </c>
      <c r="I11" s="83">
        <f>IFERROR(D11/Parâmetros!B4*Parâmetros!B5,0)</f>
        <v/>
      </c>
    </row>
    <row r="12" ht="15" customHeight="1" s="49">
      <c r="A12" s="94" t="inlineStr">
        <is>
          <t>KATARINI</t>
        </is>
      </c>
      <c r="B12" s="95" t="inlineStr">
        <is>
          <t>Recife</t>
        </is>
      </c>
      <c r="C12" s="83">
        <f>IFERROR(INDEX(Metas!B:M,MATCH(A12,Metas!A:A,0),Parâmetros!B3),0)</f>
        <v/>
      </c>
      <c r="D12" s="83">
        <f>IFERROR(INDEX('Realizado por Hunter'!B:M,MATCH(A12,'Realizado por Hunter'!A:A,0),Parâmetros!B3),0)</f>
        <v/>
      </c>
      <c r="E12" s="84">
        <f>IFERROR(D12/C12,0)</f>
        <v/>
      </c>
      <c r="F12" s="83">
        <f>IFERROR(SUM(OFFSET(Metas!A1,MATCH(A12,Metas!A:A,0)-1,1,1,Parâmetros!B3)),0)</f>
        <v/>
      </c>
      <c r="G12" s="83">
        <f>IFERROR(SUM(OFFSET('Realizado por Hunter'!A1,MATCH(A12,'Realizado por Hunter'!A:A,0)-1,1,1,Parâmetros!B3)),0)</f>
        <v/>
      </c>
      <c r="H12" s="84">
        <f>IFERROR(G12/F12,0)</f>
        <v/>
      </c>
      <c r="I12" s="83">
        <f>IFERROR(D12/Parâmetros!B4*Parâmetros!B5,0)</f>
        <v/>
      </c>
    </row>
    <row r="13" ht="15" customHeight="1" s="49">
      <c r="A13" s="94" t="inlineStr">
        <is>
          <t>LEANDRO</t>
        </is>
      </c>
      <c r="B13" s="95" t="inlineStr">
        <is>
          <t>Marília e região</t>
        </is>
      </c>
      <c r="C13" s="83">
        <f>IFERROR(INDEX(Metas!B:M,MATCH(A13,Metas!A:A,0),Parâmetros!B3),0)</f>
        <v/>
      </c>
      <c r="D13" s="83">
        <f>IFERROR(INDEX('Realizado por Hunter'!B:M,MATCH(A13,'Realizado por Hunter'!A:A,0),Parâmetros!B3),0)</f>
        <v/>
      </c>
      <c r="E13" s="84">
        <f>IFERROR(D13/C13,0)</f>
        <v/>
      </c>
      <c r="F13" s="83">
        <f>IFERROR(SUM(OFFSET(Metas!A1,MATCH(A13,Metas!A:A,0)-1,1,1,Parâmetros!B3)),0)</f>
        <v/>
      </c>
      <c r="G13" s="83">
        <f>IFERROR(SUM(OFFSET('Realizado por Hunter'!A1,MATCH(A13,'Realizado por Hunter'!A:A,0)-1,1,1,Parâmetros!B3)),0)</f>
        <v/>
      </c>
      <c r="H13" s="84">
        <f>IFERROR(G13/F13,0)</f>
        <v/>
      </c>
      <c r="I13" s="83">
        <f>IFERROR(D13/Parâmetros!B4*Parâmetros!B5,0)</f>
        <v/>
      </c>
    </row>
    <row r="14" ht="15" customHeight="1" s="49">
      <c r="A14" s="94" t="inlineStr">
        <is>
          <t>NATHALIA</t>
        </is>
      </c>
      <c r="B14" s="95" t="inlineStr">
        <is>
          <t>São José do Rio Preto</t>
        </is>
      </c>
      <c r="C14" s="83">
        <f>IFERROR(INDEX(Metas!B:M,MATCH(A14,Metas!A:A,0),Parâmetros!B3),0)</f>
        <v/>
      </c>
      <c r="D14" s="83">
        <f>IFERROR(INDEX('Realizado por Hunter'!B:M,MATCH(A14,'Realizado por Hunter'!A:A,0),Parâmetros!B3),0)</f>
        <v/>
      </c>
      <c r="E14" s="84">
        <f>IFERROR(D14/C14,0)</f>
        <v/>
      </c>
      <c r="F14" s="83">
        <f>IFERROR(SUM(OFFSET(Metas!A1,MATCH(A14,Metas!A:A,0)-1,1,1,Parâmetros!B3)),0)</f>
        <v/>
      </c>
      <c r="G14" s="83">
        <f>IFERROR(SUM(OFFSET('Realizado por Hunter'!A1,MATCH(A14,'Realizado por Hunter'!A:A,0)-1,1,1,Parâmetros!B3)),0)</f>
        <v/>
      </c>
      <c r="H14" s="84">
        <f>IFERROR(G14/F14,0)</f>
        <v/>
      </c>
      <c r="I14" s="83">
        <f>IFERROR(D14/Parâmetros!B4*Parâmetros!B5,0)</f>
        <v/>
      </c>
    </row>
    <row r="15" ht="15" customHeight="1" s="49">
      <c r="A15" s="94" t="inlineStr">
        <is>
          <t>ORLANDO</t>
        </is>
      </c>
      <c r="B15" s="95" t="inlineStr">
        <is>
          <t>São Paulo - Matriz</t>
        </is>
      </c>
      <c r="C15" s="83">
        <f>IFERROR(INDEX(Metas!B:M,MATCH(A15,Metas!A:A,0),Parâmetros!B3),0)</f>
        <v/>
      </c>
      <c r="D15" s="83">
        <f>IFERROR(INDEX('Realizado por Hunter'!B:M,MATCH(A15,'Realizado por Hunter'!A:A,0),Parâmetros!B3),0)</f>
        <v/>
      </c>
      <c r="E15" s="84">
        <f>IFERROR(D15/C15,0)</f>
        <v/>
      </c>
      <c r="F15" s="83">
        <f>IFERROR(SUM(OFFSET(Metas!A1,MATCH(A15,Metas!A:A,0)-1,1,1,Parâmetros!B3)),0)</f>
        <v/>
      </c>
      <c r="G15" s="83">
        <f>IFERROR(SUM(OFFSET('Realizado por Hunter'!A1,MATCH(A15,'Realizado por Hunter'!A:A,0)-1,1,1,Parâmetros!B3)),0)</f>
        <v/>
      </c>
      <c r="H15" s="84">
        <f>IFERROR(G15/F15,0)</f>
        <v/>
      </c>
      <c r="I15" s="83">
        <f>IFERROR(D15/Parâmetros!B4*Parâmetros!B5,0)</f>
        <v/>
      </c>
    </row>
    <row r="16" ht="15" customHeight="1" s="49">
      <c r="A16" s="94" t="inlineStr">
        <is>
          <t>PIAUI 2</t>
        </is>
      </c>
      <c r="B16" s="95" t="inlineStr">
        <is>
          <t>Teresina</t>
        </is>
      </c>
      <c r="C16" s="83">
        <f>IFERROR(INDEX(Metas!B:M,MATCH(A16,Metas!A:A,0),Parâmetros!B3),0)</f>
        <v/>
      </c>
      <c r="D16" s="83">
        <f>IFERROR(INDEX('Realizado por Hunter'!B:M,MATCH(A16,'Realizado por Hunter'!A:A,0),Parâmetros!B3),0)</f>
        <v/>
      </c>
      <c r="E16" s="84">
        <f>IFERROR(D16/C16,0)</f>
        <v/>
      </c>
      <c r="F16" s="83">
        <f>IFERROR(SUM(OFFSET(Metas!A1,MATCH(A16,Metas!A:A,0)-1,1,1,Parâmetros!B3)),0)</f>
        <v/>
      </c>
      <c r="G16" s="83">
        <f>IFERROR(SUM(OFFSET('Realizado por Hunter'!A1,MATCH(A16,'Realizado por Hunter'!A:A,0)-1,1,1,Parâmetros!B3)),0)</f>
        <v/>
      </c>
      <c r="H16" s="84">
        <f>IFERROR(G16/F16,0)</f>
        <v/>
      </c>
      <c r="I16" s="83">
        <f>IFERROR(D16/Parâmetros!B4*Parâmetros!B5,0)</f>
        <v/>
      </c>
    </row>
    <row r="17" ht="15" customHeight="1" s="49">
      <c r="A17" s="94" t="inlineStr">
        <is>
          <t>RAUL</t>
        </is>
      </c>
      <c r="B17" s="95" t="inlineStr">
        <is>
          <t>São José dos Campos e ABC</t>
        </is>
      </c>
      <c r="C17" s="83">
        <f>IFERROR(INDEX(Metas!B:M,MATCH(A17,Metas!A:A,0),Parâmetros!B3),0)</f>
        <v/>
      </c>
      <c r="D17" s="83">
        <f>IFERROR(INDEX('Realizado por Hunter'!B:M,MATCH(A17,'Realizado por Hunter'!A:A,0),Parâmetros!B3),0)</f>
        <v/>
      </c>
      <c r="E17" s="84">
        <f>IFERROR(D17/C17,0)</f>
        <v/>
      </c>
      <c r="F17" s="83">
        <f>IFERROR(SUM(OFFSET(Metas!A1,MATCH(A17,Metas!A:A,0)-1,1,1,Parâmetros!B3)),0)</f>
        <v/>
      </c>
      <c r="G17" s="83">
        <f>IFERROR(SUM(OFFSET('Realizado por Hunter'!A1,MATCH(A17,'Realizado por Hunter'!A:A,0)-1,1,1,Parâmetros!B3)),0)</f>
        <v/>
      </c>
      <c r="H17" s="84">
        <f>IFERROR(G17/F17,0)</f>
        <v/>
      </c>
      <c r="I17" s="83">
        <f>IFERROR(D17/Parâmetros!B4*Parâmetros!B5,0)</f>
        <v/>
      </c>
    </row>
    <row r="18" ht="15" customHeight="1" s="49">
      <c r="A18" s="94" t="inlineStr">
        <is>
          <t>SILAS</t>
        </is>
      </c>
      <c r="B18" s="95" t="inlineStr">
        <is>
          <t>Fortaleza</t>
        </is>
      </c>
      <c r="C18" s="83">
        <f>IFERROR(INDEX(Metas!B:M,MATCH(A18,Metas!A:A,0),Parâmetros!B3),0)</f>
        <v/>
      </c>
      <c r="D18" s="83">
        <f>IFERROR(INDEX('Realizado por Hunter'!B:M,MATCH(A18,'Realizado por Hunter'!A:A,0),Parâmetros!B3),0)</f>
        <v/>
      </c>
      <c r="E18" s="84">
        <f>IFERROR(D18/C18,0)</f>
        <v/>
      </c>
      <c r="F18" s="83">
        <f>IFERROR(SUM(OFFSET(Metas!A1,MATCH(A18,Metas!A:A,0)-1,1,1,Parâmetros!B3)),0)</f>
        <v/>
      </c>
      <c r="G18" s="83">
        <f>IFERROR(SUM(OFFSET('Realizado por Hunter'!A1,MATCH(A18,'Realizado por Hunter'!A:A,0)-1,1,1,Parâmetros!B3)),0)</f>
        <v/>
      </c>
      <c r="H18" s="84">
        <f>IFERROR(G18/F18,0)</f>
        <v/>
      </c>
      <c r="I18" s="83">
        <f>IFERROR(D18/Parâmetros!B4*Parâmetros!B5,0)</f>
        <v/>
      </c>
    </row>
    <row r="19" ht="15" customHeight="1" s="49">
      <c r="A19" s="94" t="inlineStr">
        <is>
          <t>THIAGO</t>
        </is>
      </c>
      <c r="B19" s="95" t="inlineStr">
        <is>
          <t>Recife</t>
        </is>
      </c>
      <c r="C19" s="83">
        <f>IFERROR(INDEX(Metas!B:M,MATCH(A19,Metas!A:A,0),Parâmetros!B3),0)</f>
        <v/>
      </c>
      <c r="D19" s="83">
        <f>IFERROR(INDEX('Realizado por Hunter'!B:M,MATCH(A19,'Realizado por Hunter'!A:A,0),Parâmetros!B3),0)</f>
        <v/>
      </c>
      <c r="E19" s="84">
        <f>IFERROR(D19/C19,0)</f>
        <v/>
      </c>
      <c r="F19" s="83">
        <f>IFERROR(SUM(OFFSET(Metas!A1,MATCH(A19,Metas!A:A,0)-1,1,1,Parâmetros!B3)),0)</f>
        <v/>
      </c>
      <c r="G19" s="83">
        <f>IFERROR(SUM(OFFSET('Realizado por Hunter'!A1,MATCH(A19,'Realizado por Hunter'!A:A,0)-1,1,1,Parâmetros!B3)),0)</f>
        <v/>
      </c>
      <c r="H19" s="84">
        <f>IFERROR(G19/F19,0)</f>
        <v/>
      </c>
      <c r="I19" s="83">
        <f>IFERROR(D19/Parâmetros!B4*Parâmetros!B5,0)</f>
        <v/>
      </c>
    </row>
    <row r="20" ht="15" customHeight="1" s="49">
      <c r="A20" s="96" t="inlineStr">
        <is>
          <t>TOTAL</t>
        </is>
      </c>
      <c r="B20" s="88" t="n"/>
      <c r="C20" s="86">
        <f>SUM(C4:C19)</f>
        <v/>
      </c>
      <c r="D20" s="86">
        <f>SUM(D4:D19)</f>
        <v/>
      </c>
      <c r="E20" s="97">
        <f>IFERROR(D20/C20,0)</f>
        <v/>
      </c>
      <c r="F20" s="86">
        <f>SUM(F4:F19)</f>
        <v/>
      </c>
      <c r="G20" s="86">
        <f>SUM(G4:G19)</f>
        <v/>
      </c>
      <c r="H20" s="97">
        <f>IFERROR(G20/F20,0)</f>
        <v/>
      </c>
      <c r="I20" s="86">
        <f>SUM(I4:I19)</f>
        <v/>
      </c>
    </row>
  </sheetData>
  <mergeCells count="1">
    <mergeCell ref="A1:I1"/>
  </mergeCells>
  <conditionalFormatting sqref="E4:E19">
    <cfRule type="colorScale" priority="2">
      <colorScale>
        <cfvo type="num" val="0"/>
        <cfvo type="num" val="0.7"/>
        <cfvo type="num" val="1.2"/>
        <color rgb="FFF8696B"/>
        <color rgb="FFFFEB84"/>
        <color rgb="FF63BE7B"/>
      </colorScale>
    </cfRule>
  </conditionalFormatting>
  <conditionalFormatting sqref="H4:H19">
    <cfRule type="colorScale" priority="3">
      <colorScale>
        <cfvo type="num" val="0"/>
        <cfvo type="num" val="0.7"/>
        <cfvo type="num" val="1.2"/>
        <color rgb="FFF8696B"/>
        <color rgb="FFFFEB84"/>
        <color rgb="FF63BE7B"/>
      </colorScale>
    </cfRule>
  </conditionalFormatting>
  <conditionalFormatting sqref="D4:D19">
    <cfRule type="dataBar" priority="4">
      <dataBar minLength="10" maxLength="90" showValue="1">
        <cfvo type="min" val="0"/>
        <cfvo type="max" val="0"/>
        <color rgb="FF2E75B6"/>
      </dataBar>
    </cfRule>
  </conditionalFormatting>
  <conditionalFormatting sqref="G4:G19">
    <cfRule type="dataBar" priority="5">
      <dataBar minLength="10" maxLength="90" showValue="1">
        <cfvo type="min" val="0"/>
        <cfvo type="max" val="0"/>
        <color rgb="FFBF8F00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48" min="1" max="1"/>
    <col width="18" customWidth="1" style="48" min="2" max="6"/>
  </cols>
  <sheetData>
    <row r="1" ht="17.25" customHeight="1" s="49">
      <c r="A1" s="80" t="inlineStr">
        <is>
          <t>RESULTADO POR PRAÇA</t>
        </is>
      </c>
    </row>
    <row r="3" ht="25.5" customHeight="1" s="49">
      <c r="A3" s="81" t="inlineStr">
        <is>
          <t>PRAÇA</t>
        </is>
      </c>
      <c r="B3" s="81" t="inlineStr">
        <is>
          <t>META MÊS</t>
        </is>
      </c>
      <c r="C3" s="81" t="inlineStr">
        <is>
          <t>REALIZADO MÊS</t>
        </is>
      </c>
      <c r="D3" s="81" t="inlineStr">
        <is>
          <t>% ATING. MÊS</t>
        </is>
      </c>
      <c r="E3" s="81" t="inlineStr">
        <is>
          <t>REAL. ACUMULADO</t>
        </is>
      </c>
      <c r="F3" s="81" t="inlineStr">
        <is>
          <t>% ACUM.</t>
        </is>
      </c>
    </row>
    <row r="4" ht="15" customHeight="1" s="49">
      <c r="A4" s="94" t="inlineStr">
        <is>
          <t>Campinas</t>
        </is>
      </c>
      <c r="B4" s="83">
        <f>SUMIFS('Hunter - Meta vs Real'!C:C,'Hunter - Meta vs Real'!B:B,A4)</f>
        <v/>
      </c>
      <c r="C4" s="83">
        <f>SUMIFS('Hunter - Meta vs Real'!D:D,'Hunter - Meta vs Real'!B:B,A4)</f>
        <v/>
      </c>
      <c r="D4" s="84">
        <f>IFERROR(C4/B4,0)</f>
        <v/>
      </c>
      <c r="E4" s="83">
        <f>SUMIFS('Hunter - Meta vs Real'!G:G,'Hunter - Meta vs Real'!B:B,A4)</f>
        <v/>
      </c>
      <c r="F4" s="84">
        <f>IFERROR(E4/SUMIFS('Hunter - Meta vs Real'!F:F,'Hunter - Meta vs Real'!B:B,A4),0)</f>
        <v/>
      </c>
    </row>
    <row r="5" ht="15" customHeight="1" s="49">
      <c r="A5" s="94" t="inlineStr">
        <is>
          <t>Fortaleza</t>
        </is>
      </c>
      <c r="B5" s="83">
        <f>SUMIFS('Hunter - Meta vs Real'!C:C,'Hunter - Meta vs Real'!B:B,A5)</f>
        <v/>
      </c>
      <c r="C5" s="83">
        <f>SUMIFS('Hunter - Meta vs Real'!D:D,'Hunter - Meta vs Real'!B:B,A5)</f>
        <v/>
      </c>
      <c r="D5" s="84">
        <f>IFERROR(C5/B5,0)</f>
        <v/>
      </c>
      <c r="E5" s="83">
        <f>SUMIFS('Hunter - Meta vs Real'!G:G,'Hunter - Meta vs Real'!B:B,A5)</f>
        <v/>
      </c>
      <c r="F5" s="84">
        <f>IFERROR(E5/SUMIFS('Hunter - Meta vs Real'!F:F,'Hunter - Meta vs Real'!B:B,A5),0)</f>
        <v/>
      </c>
    </row>
    <row r="6" ht="15" customHeight="1" s="49">
      <c r="A6" s="94" t="inlineStr">
        <is>
          <t>Marília e região</t>
        </is>
      </c>
      <c r="B6" s="83">
        <f>SUMIFS('Hunter - Meta vs Real'!C:C,'Hunter - Meta vs Real'!B:B,A6)</f>
        <v/>
      </c>
      <c r="C6" s="83">
        <f>SUMIFS('Hunter - Meta vs Real'!D:D,'Hunter - Meta vs Real'!B:B,A6)</f>
        <v/>
      </c>
      <c r="D6" s="84">
        <f>IFERROR(C6/B6,0)</f>
        <v/>
      </c>
      <c r="E6" s="83">
        <f>SUMIFS('Hunter - Meta vs Real'!G:G,'Hunter - Meta vs Real'!B:B,A6)</f>
        <v/>
      </c>
      <c r="F6" s="84">
        <f>IFERROR(E6/SUMIFS('Hunter - Meta vs Real'!F:F,'Hunter - Meta vs Real'!B:B,A6),0)</f>
        <v/>
      </c>
    </row>
    <row r="7" ht="15" customHeight="1" s="49">
      <c r="A7" s="94" t="inlineStr">
        <is>
          <t>Matriz</t>
        </is>
      </c>
      <c r="B7" s="83">
        <f>SUMIFS('Hunter - Meta vs Real'!C:C,'Hunter - Meta vs Real'!B:B,A7)</f>
        <v/>
      </c>
      <c r="C7" s="83">
        <f>SUMIFS('Hunter - Meta vs Real'!D:D,'Hunter - Meta vs Real'!B:B,A7)</f>
        <v/>
      </c>
      <c r="D7" s="84">
        <f>IFERROR(C7/B7,0)</f>
        <v/>
      </c>
      <c r="E7" s="83">
        <f>SUMIFS('Hunter - Meta vs Real'!G:G,'Hunter - Meta vs Real'!B:B,A7)</f>
        <v/>
      </c>
      <c r="F7" s="84">
        <f>IFERROR(E7/SUMIFS('Hunter - Meta vs Real'!F:F,'Hunter - Meta vs Real'!B:B,A7),0)</f>
        <v/>
      </c>
    </row>
    <row r="8" ht="15" customHeight="1" s="49">
      <c r="A8" s="94" t="inlineStr">
        <is>
          <t>Recife</t>
        </is>
      </c>
      <c r="B8" s="83">
        <f>SUMIFS('Hunter - Meta vs Real'!C:C,'Hunter - Meta vs Real'!B:B,A8)</f>
        <v/>
      </c>
      <c r="C8" s="83">
        <f>SUMIFS('Hunter - Meta vs Real'!D:D,'Hunter - Meta vs Real'!B:B,A8)</f>
        <v/>
      </c>
      <c r="D8" s="84">
        <f>IFERROR(C8/B8,0)</f>
        <v/>
      </c>
      <c r="E8" s="83">
        <f>SUMIFS('Hunter - Meta vs Real'!G:G,'Hunter - Meta vs Real'!B:B,A8)</f>
        <v/>
      </c>
      <c r="F8" s="84">
        <f>IFERROR(E8/SUMIFS('Hunter - Meta vs Real'!F:F,'Hunter - Meta vs Real'!B:B,A8),0)</f>
        <v/>
      </c>
    </row>
    <row r="9" ht="15" customHeight="1" s="49">
      <c r="A9" s="94" t="inlineStr">
        <is>
          <t>São José do Rio Preto</t>
        </is>
      </c>
      <c r="B9" s="83">
        <f>SUMIFS('Hunter - Meta vs Real'!C:C,'Hunter - Meta vs Real'!B:B,A9)</f>
        <v/>
      </c>
      <c r="C9" s="83">
        <f>SUMIFS('Hunter - Meta vs Real'!D:D,'Hunter - Meta vs Real'!B:B,A9)</f>
        <v/>
      </c>
      <c r="D9" s="84">
        <f>IFERROR(C9/B9,0)</f>
        <v/>
      </c>
      <c r="E9" s="83">
        <f>SUMIFS('Hunter - Meta vs Real'!G:G,'Hunter - Meta vs Real'!B:B,A9)</f>
        <v/>
      </c>
      <c r="F9" s="84">
        <f>IFERROR(E9/SUMIFS('Hunter - Meta vs Real'!F:F,'Hunter - Meta vs Real'!B:B,A9),0)</f>
        <v/>
      </c>
    </row>
    <row r="10" ht="15" customHeight="1" s="49">
      <c r="A10" s="94" t="inlineStr">
        <is>
          <t>São José dos Campos e ABC</t>
        </is>
      </c>
      <c r="B10" s="83">
        <f>SUMIFS('Hunter - Meta vs Real'!C:C,'Hunter - Meta vs Real'!B:B,A10)</f>
        <v/>
      </c>
      <c r="C10" s="83">
        <f>SUMIFS('Hunter - Meta vs Real'!D:D,'Hunter - Meta vs Real'!B:B,A10)</f>
        <v/>
      </c>
      <c r="D10" s="84">
        <f>IFERROR(C10/B10,0)</f>
        <v/>
      </c>
      <c r="E10" s="83">
        <f>SUMIFS('Hunter - Meta vs Real'!G:G,'Hunter - Meta vs Real'!B:B,A10)</f>
        <v/>
      </c>
      <c r="F10" s="84">
        <f>IFERROR(E10/SUMIFS('Hunter - Meta vs Real'!F:F,'Hunter - Meta vs Real'!B:B,A10),0)</f>
        <v/>
      </c>
    </row>
    <row r="11" ht="15" customHeight="1" s="49">
      <c r="A11" s="94" t="inlineStr">
        <is>
          <t>São Paulo - Matriz</t>
        </is>
      </c>
      <c r="B11" s="83">
        <f>SUMIFS('Hunter - Meta vs Real'!C:C,'Hunter - Meta vs Real'!B:B,A11)</f>
        <v/>
      </c>
      <c r="C11" s="83">
        <f>SUMIFS('Hunter - Meta vs Real'!D:D,'Hunter - Meta vs Real'!B:B,A11)</f>
        <v/>
      </c>
      <c r="D11" s="84">
        <f>IFERROR(C11/B11,0)</f>
        <v/>
      </c>
      <c r="E11" s="83">
        <f>SUMIFS('Hunter - Meta vs Real'!G:G,'Hunter - Meta vs Real'!B:B,A11)</f>
        <v/>
      </c>
      <c r="F11" s="84">
        <f>IFERROR(E11/SUMIFS('Hunter - Meta vs Real'!F:F,'Hunter - Meta vs Real'!B:B,A11),0)</f>
        <v/>
      </c>
    </row>
    <row r="12" ht="15" customHeight="1" s="49">
      <c r="A12" s="94" t="inlineStr">
        <is>
          <t>São Paulo e Santos</t>
        </is>
      </c>
      <c r="B12" s="83">
        <f>SUMIFS('Hunter - Meta vs Real'!C:C,'Hunter - Meta vs Real'!B:B,A12)</f>
        <v/>
      </c>
      <c r="C12" s="83">
        <f>SUMIFS('Hunter - Meta vs Real'!D:D,'Hunter - Meta vs Real'!B:B,A12)</f>
        <v/>
      </c>
      <c r="D12" s="84">
        <f>IFERROR(C12/B12,0)</f>
        <v/>
      </c>
      <c r="E12" s="83">
        <f>SUMIFS('Hunter - Meta vs Real'!G:G,'Hunter - Meta vs Real'!B:B,A12)</f>
        <v/>
      </c>
      <c r="F12" s="84">
        <f>IFERROR(E12/SUMIFS('Hunter - Meta vs Real'!F:F,'Hunter - Meta vs Real'!B:B,A12),0)</f>
        <v/>
      </c>
    </row>
    <row r="13" ht="15" customHeight="1" s="49">
      <c r="A13" s="94" t="inlineStr">
        <is>
          <t>Teresina</t>
        </is>
      </c>
      <c r="B13" s="83">
        <f>SUMIFS('Hunter - Meta vs Real'!C:C,'Hunter - Meta vs Real'!B:B,A13)</f>
        <v/>
      </c>
      <c r="C13" s="83">
        <f>SUMIFS('Hunter - Meta vs Real'!D:D,'Hunter - Meta vs Real'!B:B,A13)</f>
        <v/>
      </c>
      <c r="D13" s="84">
        <f>IFERROR(C13/B13,0)</f>
        <v/>
      </c>
      <c r="E13" s="83">
        <f>SUMIFS('Hunter - Meta vs Real'!G:G,'Hunter - Meta vs Real'!B:B,A13)</f>
        <v/>
      </c>
      <c r="F13" s="84">
        <f>IFERROR(E13/SUMIFS('Hunter - Meta vs Real'!F:F,'Hunter - Meta vs Real'!B:B,A13),0)</f>
        <v/>
      </c>
    </row>
    <row r="14" ht="15" customHeight="1" s="49">
      <c r="A14" s="94" t="inlineStr">
        <is>
          <t>Teresina e Mato Grosso do Sul</t>
        </is>
      </c>
      <c r="B14" s="83">
        <f>SUMIFS('Hunter - Meta vs Real'!C:C,'Hunter - Meta vs Real'!B:B,A14)</f>
        <v/>
      </c>
      <c r="C14" s="83">
        <f>SUMIFS('Hunter - Meta vs Real'!D:D,'Hunter - Meta vs Real'!B:B,A14)</f>
        <v/>
      </c>
      <c r="D14" s="84">
        <f>IFERROR(C14/B14,0)</f>
        <v/>
      </c>
      <c r="E14" s="83">
        <f>SUMIFS('Hunter - Meta vs Real'!G:G,'Hunter - Meta vs Real'!B:B,A14)</f>
        <v/>
      </c>
      <c r="F14" s="84">
        <f>IFERROR(E14/SUMIFS('Hunter - Meta vs Real'!F:F,'Hunter - Meta vs Real'!B:B,A14),0)</f>
        <v/>
      </c>
    </row>
    <row r="15" ht="15" customHeight="1" s="49">
      <c r="A15" s="85" t="inlineStr">
        <is>
          <t>TOTAL</t>
        </is>
      </c>
      <c r="B15" s="86">
        <f>SUM(B4:B14)</f>
        <v/>
      </c>
      <c r="C15" s="86">
        <f>SUM(C4:C14)</f>
        <v/>
      </c>
      <c r="D15" s="97">
        <f>IFERROR(C15/B15,0)</f>
        <v/>
      </c>
      <c r="E15" s="86">
        <f>SUM(E4:E14)</f>
        <v/>
      </c>
      <c r="F15" s="98">
        <f>IFERROR(E15/'Hunter - Meta vs Real'!F20,0)</f>
        <v/>
      </c>
    </row>
  </sheetData>
  <mergeCells count="1">
    <mergeCell ref="A1:F1"/>
  </mergeCells>
  <conditionalFormatting sqref="D4:D14">
    <cfRule type="colorScale" priority="2">
      <colorScale>
        <cfvo type="num" val="0"/>
        <cfvo type="num" val="0.7"/>
        <cfvo type="num" val="1.2"/>
        <color rgb="FFF8696B"/>
        <color rgb="FFFFEB84"/>
        <color rgb="FF63BE7B"/>
      </colorScale>
    </cfRule>
  </conditionalFormatting>
  <conditionalFormatting sqref="F4:F14">
    <cfRule type="colorScale" priority="3">
      <colorScale>
        <cfvo type="num" val="0"/>
        <cfvo type="num" val="0.7"/>
        <cfvo type="num" val="1.2"/>
        <color rgb="FFF8696B"/>
        <color rgb="FFFFEB84"/>
        <color rgb="FF63BE7B"/>
      </colorScale>
    </cfRule>
  </conditionalFormatting>
  <conditionalFormatting sqref="C4:C14">
    <cfRule type="dataBar" priority="4">
      <dataBar minLength="10" maxLength="90" showValue="1">
        <cfvo type="min" val="0"/>
        <cfvo type="max" val="0"/>
        <color rgb="FF2E75B6"/>
      </dataBar>
    </cfRule>
  </conditionalFormatting>
  <conditionalFormatting sqref="E4:E14">
    <cfRule type="dataBar" priority="5">
      <dataBar minLength="10" maxLength="90" showValue="1">
        <cfvo type="min" val="0"/>
        <cfvo type="max" val="0"/>
        <color rgb="FFBF8F00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48" min="1" max="1"/>
    <col width="18" customWidth="1" style="48" min="2" max="5"/>
  </cols>
  <sheetData>
    <row r="1" ht="17.25" customHeight="1" s="49">
      <c r="A1" s="80" t="inlineStr">
        <is>
          <t>PARTICIPAÇÃO DE PARCEIROS</t>
        </is>
      </c>
    </row>
    <row r="3" ht="30" customHeight="1" s="49">
      <c r="A3" s="99" t="inlineStr">
        <is>
          <t>⚠ A coluna PARCEIRO foi adicionada na aba 'Base de Dados' (coluna C). Preencha-a para alimentar este painel automaticamente.</t>
        </is>
      </c>
    </row>
    <row r="5" ht="25.5" customHeight="1" s="49">
      <c r="A5" s="81" t="inlineStr">
        <is>
          <t>PARCEIRO</t>
        </is>
      </c>
      <c r="B5" s="81" t="inlineStr">
        <is>
          <t>Nº NEGÓCIOS</t>
        </is>
      </c>
      <c r="C5" s="81" t="inlineStr">
        <is>
          <t>FATURAMENTO</t>
        </is>
      </c>
      <c r="D5" s="81" t="inlineStr">
        <is>
          <t>% PARTICIPAÇÃO</t>
        </is>
      </c>
      <c r="E5" s="81" t="inlineStr">
        <is>
          <t>TICKET MÉDIO</t>
        </is>
      </c>
    </row>
    <row r="6" ht="15" customHeight="1" s="49">
      <c r="A6" s="100" t="n"/>
      <c r="B6" s="101">
        <f>IF(A6="","",COUNTIFS('Base de Dados'!C:C,A6,'Base de Dados'!J:J,"ASSINADO"))</f>
        <v/>
      </c>
      <c r="C6" s="83">
        <f>IF(A6="","",SUMIFS('Base de Dados'!I:I,'Base de Dados'!C:C,A6,'Base de Dados'!J:J,"ASSINADO"))</f>
        <v/>
      </c>
      <c r="D6" s="84">
        <f>IFERROR(IF(A6="","",C6/SUM($C$6:$C$20)),0)</f>
        <v/>
      </c>
      <c r="E6" s="83">
        <f>IFERROR(IF(A6="","",C6/B6),0)</f>
        <v/>
      </c>
    </row>
    <row r="7" ht="15" customHeight="1" s="49">
      <c r="A7" s="100" t="n"/>
      <c r="B7" s="101">
        <f>IF(A7="","",COUNTIFS('Base de Dados'!C:C,A7,'Base de Dados'!J:J,"ASSINADO"))</f>
        <v/>
      </c>
      <c r="C7" s="83">
        <f>IF(A7="","",SUMIFS('Base de Dados'!I:I,'Base de Dados'!C:C,A7,'Base de Dados'!J:J,"ASSINADO"))</f>
        <v/>
      </c>
      <c r="D7" s="84">
        <f>IFERROR(IF(A7="","",C7/SUM($C$6:$C$20)),0)</f>
        <v/>
      </c>
      <c r="E7" s="83">
        <f>IFERROR(IF(A7="","",C7/B7),0)</f>
        <v/>
      </c>
    </row>
    <row r="8" ht="15" customHeight="1" s="49">
      <c r="A8" s="100" t="n"/>
      <c r="B8" s="101">
        <f>IF(A8="","",COUNTIFS('Base de Dados'!C:C,A8,'Base de Dados'!J:J,"ASSINADO"))</f>
        <v/>
      </c>
      <c r="C8" s="83">
        <f>IF(A8="","",SUMIFS('Base de Dados'!I:I,'Base de Dados'!C:C,A8,'Base de Dados'!J:J,"ASSINADO"))</f>
        <v/>
      </c>
      <c r="D8" s="84">
        <f>IFERROR(IF(A8="","",C8/SUM($C$6:$C$20)),0)</f>
        <v/>
      </c>
      <c r="E8" s="83">
        <f>IFERROR(IF(A8="","",C8/B8),0)</f>
        <v/>
      </c>
    </row>
    <row r="9" ht="15" customHeight="1" s="49">
      <c r="A9" s="100" t="n"/>
      <c r="B9" s="101">
        <f>IF(A9="","",COUNTIFS('Base de Dados'!C:C,A9,'Base de Dados'!J:J,"ASSINADO"))</f>
        <v/>
      </c>
      <c r="C9" s="83">
        <f>IF(A9="","",SUMIFS('Base de Dados'!I:I,'Base de Dados'!C:C,A9,'Base de Dados'!J:J,"ASSINADO"))</f>
        <v/>
      </c>
      <c r="D9" s="84">
        <f>IFERROR(IF(A9="","",C9/SUM($C$6:$C$20)),0)</f>
        <v/>
      </c>
      <c r="E9" s="83">
        <f>IFERROR(IF(A9="","",C9/B9),0)</f>
        <v/>
      </c>
    </row>
    <row r="10" ht="15" customHeight="1" s="49">
      <c r="A10" s="100" t="n"/>
      <c r="B10" s="101">
        <f>IF(A10="","",COUNTIFS('Base de Dados'!C:C,A10,'Base de Dados'!J:J,"ASSINADO"))</f>
        <v/>
      </c>
      <c r="C10" s="83">
        <f>IF(A10="","",SUMIFS('Base de Dados'!I:I,'Base de Dados'!C:C,A10,'Base de Dados'!J:J,"ASSINADO"))</f>
        <v/>
      </c>
      <c r="D10" s="84">
        <f>IFERROR(IF(A10="","",C10/SUM($C$6:$C$20)),0)</f>
        <v/>
      </c>
      <c r="E10" s="83">
        <f>IFERROR(IF(A10="","",C10/B10),0)</f>
        <v/>
      </c>
    </row>
    <row r="11" ht="15" customHeight="1" s="49">
      <c r="A11" s="100" t="n"/>
      <c r="B11" s="101">
        <f>IF(A11="","",COUNTIFS('Base de Dados'!C:C,A11,'Base de Dados'!J:J,"ASSINADO"))</f>
        <v/>
      </c>
      <c r="C11" s="83">
        <f>IF(A11="","",SUMIFS('Base de Dados'!I:I,'Base de Dados'!C:C,A11,'Base de Dados'!J:J,"ASSINADO"))</f>
        <v/>
      </c>
      <c r="D11" s="84">
        <f>IFERROR(IF(A11="","",C11/SUM($C$6:$C$20)),0)</f>
        <v/>
      </c>
      <c r="E11" s="83">
        <f>IFERROR(IF(A11="","",C11/B11),0)</f>
        <v/>
      </c>
    </row>
    <row r="12" ht="15" customHeight="1" s="49">
      <c r="A12" s="100" t="n"/>
      <c r="B12" s="101">
        <f>IF(A12="","",COUNTIFS('Base de Dados'!C:C,A12,'Base de Dados'!J:J,"ASSINADO"))</f>
        <v/>
      </c>
      <c r="C12" s="83">
        <f>IF(A12="","",SUMIFS('Base de Dados'!I:I,'Base de Dados'!C:C,A12,'Base de Dados'!J:J,"ASSINADO"))</f>
        <v/>
      </c>
      <c r="D12" s="84">
        <f>IFERROR(IF(A12="","",C12/SUM($C$6:$C$20)),0)</f>
        <v/>
      </c>
      <c r="E12" s="83">
        <f>IFERROR(IF(A12="","",C12/B12),0)</f>
        <v/>
      </c>
    </row>
    <row r="13" ht="15" customHeight="1" s="49">
      <c r="A13" s="100" t="n"/>
      <c r="B13" s="101">
        <f>IF(A13="","",COUNTIFS('Base de Dados'!C:C,A13,'Base de Dados'!J:J,"ASSINADO"))</f>
        <v/>
      </c>
      <c r="C13" s="83">
        <f>IF(A13="","",SUMIFS('Base de Dados'!I:I,'Base de Dados'!C:C,A13,'Base de Dados'!J:J,"ASSINADO"))</f>
        <v/>
      </c>
      <c r="D13" s="84">
        <f>IFERROR(IF(A13="","",C13/SUM($C$6:$C$20)),0)</f>
        <v/>
      </c>
      <c r="E13" s="83">
        <f>IFERROR(IF(A13="","",C13/B13),0)</f>
        <v/>
      </c>
    </row>
    <row r="14" ht="15" customHeight="1" s="49">
      <c r="A14" s="100" t="n"/>
      <c r="B14" s="101">
        <f>IF(A14="","",COUNTIFS('Base de Dados'!C:C,A14,'Base de Dados'!J:J,"ASSINADO"))</f>
        <v/>
      </c>
      <c r="C14" s="83">
        <f>IF(A14="","",SUMIFS('Base de Dados'!I:I,'Base de Dados'!C:C,A14,'Base de Dados'!J:J,"ASSINADO"))</f>
        <v/>
      </c>
      <c r="D14" s="84">
        <f>IFERROR(IF(A14="","",C14/SUM($C$6:$C$20)),0)</f>
        <v/>
      </c>
      <c r="E14" s="83">
        <f>IFERROR(IF(A14="","",C14/B14),0)</f>
        <v/>
      </c>
    </row>
    <row r="15" ht="15" customHeight="1" s="49">
      <c r="A15" s="100" t="n"/>
      <c r="B15" s="101">
        <f>IF(A15="","",COUNTIFS('Base de Dados'!C:C,A15,'Base de Dados'!J:J,"ASSINADO"))</f>
        <v/>
      </c>
      <c r="C15" s="83">
        <f>IF(A15="","",SUMIFS('Base de Dados'!I:I,'Base de Dados'!C:C,A15,'Base de Dados'!J:J,"ASSINADO"))</f>
        <v/>
      </c>
      <c r="D15" s="84">
        <f>IFERROR(IF(A15="","",C15/SUM($C$6:$C$20)),0)</f>
        <v/>
      </c>
      <c r="E15" s="83">
        <f>IFERROR(IF(A15="","",C15/B15),0)</f>
        <v/>
      </c>
    </row>
    <row r="16" ht="15" customHeight="1" s="49">
      <c r="A16" s="100" t="n"/>
      <c r="B16" s="101">
        <f>IF(A16="","",COUNTIFS('Base de Dados'!C:C,A16,'Base de Dados'!J:J,"ASSINADO"))</f>
        <v/>
      </c>
      <c r="C16" s="83">
        <f>IF(A16="","",SUMIFS('Base de Dados'!I:I,'Base de Dados'!C:C,A16,'Base de Dados'!J:J,"ASSINADO"))</f>
        <v/>
      </c>
      <c r="D16" s="84">
        <f>IFERROR(IF(A16="","",C16/SUM($C$6:$C$20)),0)</f>
        <v/>
      </c>
      <c r="E16" s="83">
        <f>IFERROR(IF(A16="","",C16/B16),0)</f>
        <v/>
      </c>
    </row>
    <row r="17" ht="15" customHeight="1" s="49">
      <c r="A17" s="100" t="n"/>
      <c r="B17" s="101">
        <f>IF(A17="","",COUNTIFS('Base de Dados'!C:C,A17,'Base de Dados'!J:J,"ASSINADO"))</f>
        <v/>
      </c>
      <c r="C17" s="83">
        <f>IF(A17="","",SUMIFS('Base de Dados'!I:I,'Base de Dados'!C:C,A17,'Base de Dados'!J:J,"ASSINADO"))</f>
        <v/>
      </c>
      <c r="D17" s="84">
        <f>IFERROR(IF(A17="","",C17/SUM($C$6:$C$20)),0)</f>
        <v/>
      </c>
      <c r="E17" s="83">
        <f>IFERROR(IF(A17="","",C17/B17),0)</f>
        <v/>
      </c>
    </row>
    <row r="18" ht="15" customHeight="1" s="49">
      <c r="A18" s="100" t="n"/>
      <c r="B18" s="101">
        <f>IF(A18="","",COUNTIFS('Base de Dados'!C:C,A18,'Base de Dados'!J:J,"ASSINADO"))</f>
        <v/>
      </c>
      <c r="C18" s="83">
        <f>IF(A18="","",SUMIFS('Base de Dados'!I:I,'Base de Dados'!C:C,A18,'Base de Dados'!J:J,"ASSINADO"))</f>
        <v/>
      </c>
      <c r="D18" s="84">
        <f>IFERROR(IF(A18="","",C18/SUM($C$6:$C$20)),0)</f>
        <v/>
      </c>
      <c r="E18" s="83">
        <f>IFERROR(IF(A18="","",C18/B18),0)</f>
        <v/>
      </c>
    </row>
    <row r="19" ht="15" customHeight="1" s="49">
      <c r="A19" s="100" t="n"/>
      <c r="B19" s="101">
        <f>IF(A19="","",COUNTIFS('Base de Dados'!C:C,A19,'Base de Dados'!J:J,"ASSINADO"))</f>
        <v/>
      </c>
      <c r="C19" s="83">
        <f>IF(A19="","",SUMIFS('Base de Dados'!I:I,'Base de Dados'!C:C,A19,'Base de Dados'!J:J,"ASSINADO"))</f>
        <v/>
      </c>
      <c r="D19" s="84">
        <f>IFERROR(IF(A19="","",C19/SUM($C$6:$C$20)),0)</f>
        <v/>
      </c>
      <c r="E19" s="83">
        <f>IFERROR(IF(A19="","",C19/B19),0)</f>
        <v/>
      </c>
    </row>
    <row r="20" ht="15" customHeight="1" s="49">
      <c r="A20" s="100" t="n"/>
      <c r="B20" s="101">
        <f>IF(A20="","",COUNTIFS('Base de Dados'!C:C,A20,'Base de Dados'!J:J,"ASSINADO"))</f>
        <v/>
      </c>
      <c r="C20" s="83">
        <f>IF(A20="","",SUMIFS('Base de Dados'!I:I,'Base de Dados'!C:C,A20,'Base de Dados'!J:J,"ASSINADO"))</f>
        <v/>
      </c>
      <c r="D20" s="84">
        <f>IFERROR(IF(A20="","",C20/SUM($C$6:$C$20)),0)</f>
        <v/>
      </c>
      <c r="E20" s="83">
        <f>IFERROR(IF(A20="","",C20/B20),0)</f>
        <v/>
      </c>
    </row>
    <row r="21" ht="15" customHeight="1" s="49">
      <c r="A21" s="85" t="inlineStr">
        <is>
          <t>TOTAL</t>
        </is>
      </c>
      <c r="B21" s="102">
        <f>SUM(B6:B20)</f>
        <v/>
      </c>
      <c r="C21" s="86">
        <f>SUM(C6:C20)</f>
        <v/>
      </c>
      <c r="D21" s="87">
        <f>IFERROR(C21/SUMIFS('Base de Dados'!I:I,'Base de Dados'!J:J,"ASSINADO"),0)</f>
        <v/>
      </c>
    </row>
    <row r="24" ht="15" customHeight="1" s="49">
      <c r="A24" s="89" t="inlineStr">
        <is>
          <t>DIRETO vs PARCEIROS</t>
        </is>
      </c>
    </row>
    <row r="25" ht="15" customHeight="1" s="49">
      <c r="A25" s="81" t="inlineStr">
        <is>
          <t>CANAL</t>
        </is>
      </c>
      <c r="B25" s="81" t="inlineStr">
        <is>
          <t>FATURAMENTO</t>
        </is>
      </c>
      <c r="C25" s="81" t="inlineStr">
        <is>
          <t>% PARTICIPAÇÃO</t>
        </is>
      </c>
    </row>
    <row r="26" ht="15" customHeight="1" s="49">
      <c r="A26" s="94" t="inlineStr">
        <is>
          <t>DIRETO (sem parceiro)</t>
        </is>
      </c>
      <c r="B26" s="83">
        <f>SUMIFS('Base de Dados'!I:I,'Base de Dados'!J:J,"ASSINADO",'Base de Dados'!C:C,"")</f>
        <v/>
      </c>
      <c r="C26" s="84">
        <f>IFERROR(B26/(B26+B27),0)</f>
        <v/>
      </c>
    </row>
    <row r="27" ht="15" customHeight="1" s="49">
      <c r="A27" s="94" t="inlineStr">
        <is>
          <t>PARCEIROS</t>
        </is>
      </c>
      <c r="B27" s="83">
        <f>C21</f>
        <v/>
      </c>
      <c r="C27" s="84">
        <f>IFERROR(B27/(B26+B27),0)</f>
        <v/>
      </c>
    </row>
  </sheetData>
  <mergeCells count="3">
    <mergeCell ref="A1:E1"/>
    <mergeCell ref="A3:H3"/>
    <mergeCell ref="A24:C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48" min="1" max="1"/>
    <col width="13" customWidth="1" style="48" min="2" max="13"/>
    <col width="16" customWidth="1" style="48" min="14" max="14"/>
  </cols>
  <sheetData>
    <row r="1" ht="17.25" customHeight="1" s="49">
      <c r="A1" s="80" t="inlineStr">
        <is>
          <t>FATURAMENTO REALIZADO (ASSINADO) - POR HUNTER E MÊS</t>
        </is>
      </c>
    </row>
    <row r="3" ht="24" customHeight="1" s="49">
      <c r="A3" s="81" t="inlineStr">
        <is>
          <t>HUNTER</t>
        </is>
      </c>
      <c r="B3" s="81" t="inlineStr">
        <is>
          <t>JAN</t>
        </is>
      </c>
      <c r="C3" s="81" t="inlineStr">
        <is>
          <t>FEV</t>
        </is>
      </c>
      <c r="D3" s="81" t="inlineStr">
        <is>
          <t>MAR</t>
        </is>
      </c>
      <c r="E3" s="81" t="inlineStr">
        <is>
          <t>ABR</t>
        </is>
      </c>
      <c r="F3" s="81" t="inlineStr">
        <is>
          <t>MAI</t>
        </is>
      </c>
      <c r="G3" s="81" t="inlineStr">
        <is>
          <t>JUN</t>
        </is>
      </c>
      <c r="H3" s="81" t="inlineStr">
        <is>
          <t>JUL</t>
        </is>
      </c>
      <c r="I3" s="81" t="inlineStr">
        <is>
          <t>AGO</t>
        </is>
      </c>
      <c r="J3" s="81" t="inlineStr">
        <is>
          <t>SET</t>
        </is>
      </c>
      <c r="K3" s="81" t="inlineStr">
        <is>
          <t>OUT</t>
        </is>
      </c>
      <c r="L3" s="81" t="inlineStr">
        <is>
          <t>NOV</t>
        </is>
      </c>
      <c r="M3" s="81" t="inlineStr">
        <is>
          <t>DEZ</t>
        </is>
      </c>
      <c r="N3" s="81" t="inlineStr">
        <is>
          <t>TOTAL</t>
        </is>
      </c>
    </row>
    <row r="4" ht="15" customHeight="1" s="49">
      <c r="A4" s="94" t="inlineStr">
        <is>
          <t>ANDERSON</t>
        </is>
      </c>
      <c r="B4" s="83">
        <f>SUMIFS('Base de Dados'!I:I,'Base de Dados'!A:A,A4,'Base de Dados'!L:L,"JAN",'Base de Dados'!J:J,"ASSINADO")</f>
        <v/>
      </c>
      <c r="C4" s="83">
        <f>SUMIFS('Base de Dados'!I:I,'Base de Dados'!A:A,A4,'Base de Dados'!L:L,"FEV",'Base de Dados'!J:J,"ASSINADO")</f>
        <v/>
      </c>
      <c r="D4" s="83">
        <f>SUMIFS('Base de Dados'!I:I,'Base de Dados'!A:A,A4,'Base de Dados'!L:L,"MAR",'Base de Dados'!J:J,"ASSINADO")</f>
        <v/>
      </c>
      <c r="E4" s="83">
        <f>SUMIFS('Base de Dados'!I:I,'Base de Dados'!A:A,A4,'Base de Dados'!L:L,"ABR",'Base de Dados'!J:J,"ASSINADO")</f>
        <v/>
      </c>
      <c r="F4" s="83">
        <f>SUMIFS('Base de Dados'!I:I,'Base de Dados'!A:A,A4,'Base de Dados'!L:L,"MAI",'Base de Dados'!J:J,"ASSINADO")</f>
        <v/>
      </c>
      <c r="G4" s="83">
        <f>SUMIFS('Base de Dados'!I:I,'Base de Dados'!A:A,A4,'Base de Dados'!L:L,"JUN",'Base de Dados'!J:J,"ASSINADO")</f>
        <v/>
      </c>
      <c r="H4" s="83">
        <f>SUMIFS('Base de Dados'!I:I,'Base de Dados'!A:A,A4,'Base de Dados'!L:L,"JUL",'Base de Dados'!J:J,"ASSINADO")</f>
        <v/>
      </c>
      <c r="I4" s="83">
        <f>SUMIFS('Base de Dados'!I:I,'Base de Dados'!A:A,A4,'Base de Dados'!L:L,"AGO",'Base de Dados'!J:J,"ASSINADO")</f>
        <v/>
      </c>
      <c r="J4" s="83">
        <f>SUMIFS('Base de Dados'!I:I,'Base de Dados'!A:A,A4,'Base de Dados'!L:L,"SET",'Base de Dados'!J:J,"ASSINADO")</f>
        <v/>
      </c>
      <c r="K4" s="83">
        <f>SUMIFS('Base de Dados'!I:I,'Base de Dados'!A:A,A4,'Base de Dados'!L:L,"OUT",'Base de Dados'!J:J,"ASSINADO")</f>
        <v/>
      </c>
      <c r="L4" s="83">
        <f>SUMIFS('Base de Dados'!I:I,'Base de Dados'!A:A,A4,'Base de Dados'!L:L,"NOV",'Base de Dados'!J:J,"ASSINADO")</f>
        <v/>
      </c>
      <c r="M4" s="83">
        <f>SUMIFS('Base de Dados'!I:I,'Base de Dados'!A:A,A4,'Base de Dados'!L:L,"DEZ",'Base de Dados'!J:J,"ASSINADO")</f>
        <v/>
      </c>
      <c r="N4" s="103">
        <f>SUM(B4:M4)</f>
        <v/>
      </c>
    </row>
    <row r="5" ht="15" customHeight="1" s="49">
      <c r="A5" s="94" t="inlineStr">
        <is>
          <t>ARTHUR</t>
        </is>
      </c>
      <c r="B5" s="83">
        <f>SUMIFS('Base de Dados'!I:I,'Base de Dados'!A:A,A5,'Base de Dados'!L:L,"JAN",'Base de Dados'!J:J,"ASSINADO")</f>
        <v/>
      </c>
      <c r="C5" s="83">
        <f>SUMIFS('Base de Dados'!I:I,'Base de Dados'!A:A,A5,'Base de Dados'!L:L,"FEV",'Base de Dados'!J:J,"ASSINADO")</f>
        <v/>
      </c>
      <c r="D5" s="83">
        <f>SUMIFS('Base de Dados'!I:I,'Base de Dados'!A:A,A5,'Base de Dados'!L:L,"MAR",'Base de Dados'!J:J,"ASSINADO")</f>
        <v/>
      </c>
      <c r="E5" s="83">
        <f>SUMIFS('Base de Dados'!I:I,'Base de Dados'!A:A,A5,'Base de Dados'!L:L,"ABR",'Base de Dados'!J:J,"ASSINADO")</f>
        <v/>
      </c>
      <c r="F5" s="83">
        <f>SUMIFS('Base de Dados'!I:I,'Base de Dados'!A:A,A5,'Base de Dados'!L:L,"MAI",'Base de Dados'!J:J,"ASSINADO")</f>
        <v/>
      </c>
      <c r="G5" s="83">
        <f>SUMIFS('Base de Dados'!I:I,'Base de Dados'!A:A,A5,'Base de Dados'!L:L,"JUN",'Base de Dados'!J:J,"ASSINADO")</f>
        <v/>
      </c>
      <c r="H5" s="83">
        <f>SUMIFS('Base de Dados'!I:I,'Base de Dados'!A:A,A5,'Base de Dados'!L:L,"JUL",'Base de Dados'!J:J,"ASSINADO")</f>
        <v/>
      </c>
      <c r="I5" s="83">
        <f>SUMIFS('Base de Dados'!I:I,'Base de Dados'!A:A,A5,'Base de Dados'!L:L,"AGO",'Base de Dados'!J:J,"ASSINADO")</f>
        <v/>
      </c>
      <c r="J5" s="83">
        <f>SUMIFS('Base de Dados'!I:I,'Base de Dados'!A:A,A5,'Base de Dados'!L:L,"SET",'Base de Dados'!J:J,"ASSINADO")</f>
        <v/>
      </c>
      <c r="K5" s="83">
        <f>SUMIFS('Base de Dados'!I:I,'Base de Dados'!A:A,A5,'Base de Dados'!L:L,"OUT",'Base de Dados'!J:J,"ASSINADO")</f>
        <v/>
      </c>
      <c r="L5" s="83">
        <f>SUMIFS('Base de Dados'!I:I,'Base de Dados'!A:A,A5,'Base de Dados'!L:L,"NOV",'Base de Dados'!J:J,"ASSINADO")</f>
        <v/>
      </c>
      <c r="M5" s="83">
        <f>SUMIFS('Base de Dados'!I:I,'Base de Dados'!A:A,A5,'Base de Dados'!L:L,"DEZ",'Base de Dados'!J:J,"ASSINADO")</f>
        <v/>
      </c>
      <c r="N5" s="103">
        <f>SUM(B5:M5)</f>
        <v/>
      </c>
    </row>
    <row r="6" ht="15" customHeight="1" s="49">
      <c r="A6" s="94" t="inlineStr">
        <is>
          <t>BRUNA</t>
        </is>
      </c>
      <c r="B6" s="83">
        <f>SUMIFS('Base de Dados'!I:I,'Base de Dados'!A:A,A6,'Base de Dados'!L:L,"JAN",'Base de Dados'!J:J,"ASSINADO")</f>
        <v/>
      </c>
      <c r="C6" s="83">
        <f>SUMIFS('Base de Dados'!I:I,'Base de Dados'!A:A,A6,'Base de Dados'!L:L,"FEV",'Base de Dados'!J:J,"ASSINADO")</f>
        <v/>
      </c>
      <c r="D6" s="83">
        <f>SUMIFS('Base de Dados'!I:I,'Base de Dados'!A:A,A6,'Base de Dados'!L:L,"MAR",'Base de Dados'!J:J,"ASSINADO")</f>
        <v/>
      </c>
      <c r="E6" s="83">
        <f>SUMIFS('Base de Dados'!I:I,'Base de Dados'!A:A,A6,'Base de Dados'!L:L,"ABR",'Base de Dados'!J:J,"ASSINADO")</f>
        <v/>
      </c>
      <c r="F6" s="83">
        <f>SUMIFS('Base de Dados'!I:I,'Base de Dados'!A:A,A6,'Base de Dados'!L:L,"MAI",'Base de Dados'!J:J,"ASSINADO")</f>
        <v/>
      </c>
      <c r="G6" s="83">
        <f>SUMIFS('Base de Dados'!I:I,'Base de Dados'!A:A,A6,'Base de Dados'!L:L,"JUN",'Base de Dados'!J:J,"ASSINADO")</f>
        <v/>
      </c>
      <c r="H6" s="83">
        <f>SUMIFS('Base de Dados'!I:I,'Base de Dados'!A:A,A6,'Base de Dados'!L:L,"JUL",'Base de Dados'!J:J,"ASSINADO")</f>
        <v/>
      </c>
      <c r="I6" s="83">
        <f>SUMIFS('Base de Dados'!I:I,'Base de Dados'!A:A,A6,'Base de Dados'!L:L,"AGO",'Base de Dados'!J:J,"ASSINADO")</f>
        <v/>
      </c>
      <c r="J6" s="83">
        <f>SUMIFS('Base de Dados'!I:I,'Base de Dados'!A:A,A6,'Base de Dados'!L:L,"SET",'Base de Dados'!J:J,"ASSINADO")</f>
        <v/>
      </c>
      <c r="K6" s="83">
        <f>SUMIFS('Base de Dados'!I:I,'Base de Dados'!A:A,A6,'Base de Dados'!L:L,"OUT",'Base de Dados'!J:J,"ASSINADO")</f>
        <v/>
      </c>
      <c r="L6" s="83">
        <f>SUMIFS('Base de Dados'!I:I,'Base de Dados'!A:A,A6,'Base de Dados'!L:L,"NOV",'Base de Dados'!J:J,"ASSINADO")</f>
        <v/>
      </c>
      <c r="M6" s="83">
        <f>SUMIFS('Base de Dados'!I:I,'Base de Dados'!A:A,A6,'Base de Dados'!L:L,"DEZ",'Base de Dados'!J:J,"ASSINADO")</f>
        <v/>
      </c>
      <c r="N6" s="103">
        <f>SUM(B6:M6)</f>
        <v/>
      </c>
    </row>
    <row r="7" ht="15" customHeight="1" s="49">
      <c r="A7" s="94" t="inlineStr">
        <is>
          <t>CINTHIA</t>
        </is>
      </c>
      <c r="B7" s="83">
        <f>SUMIFS('Base de Dados'!I:I,'Base de Dados'!A:A,A7,'Base de Dados'!L:L,"JAN",'Base de Dados'!J:J,"ASSINADO")</f>
        <v/>
      </c>
      <c r="C7" s="83">
        <f>SUMIFS('Base de Dados'!I:I,'Base de Dados'!A:A,A7,'Base de Dados'!L:L,"FEV",'Base de Dados'!J:J,"ASSINADO")</f>
        <v/>
      </c>
      <c r="D7" s="83">
        <f>SUMIFS('Base de Dados'!I:I,'Base de Dados'!A:A,A7,'Base de Dados'!L:L,"MAR",'Base de Dados'!J:J,"ASSINADO")</f>
        <v/>
      </c>
      <c r="E7" s="83">
        <f>SUMIFS('Base de Dados'!I:I,'Base de Dados'!A:A,A7,'Base de Dados'!L:L,"ABR",'Base de Dados'!J:J,"ASSINADO")</f>
        <v/>
      </c>
      <c r="F7" s="83">
        <f>SUMIFS('Base de Dados'!I:I,'Base de Dados'!A:A,A7,'Base de Dados'!L:L,"MAI",'Base de Dados'!J:J,"ASSINADO")</f>
        <v/>
      </c>
      <c r="G7" s="83">
        <f>SUMIFS('Base de Dados'!I:I,'Base de Dados'!A:A,A7,'Base de Dados'!L:L,"JUN",'Base de Dados'!J:J,"ASSINADO")</f>
        <v/>
      </c>
      <c r="H7" s="83">
        <f>SUMIFS('Base de Dados'!I:I,'Base de Dados'!A:A,A7,'Base de Dados'!L:L,"JUL",'Base de Dados'!J:J,"ASSINADO")</f>
        <v/>
      </c>
      <c r="I7" s="83">
        <f>SUMIFS('Base de Dados'!I:I,'Base de Dados'!A:A,A7,'Base de Dados'!L:L,"AGO",'Base de Dados'!J:J,"ASSINADO")</f>
        <v/>
      </c>
      <c r="J7" s="83">
        <f>SUMIFS('Base de Dados'!I:I,'Base de Dados'!A:A,A7,'Base de Dados'!L:L,"SET",'Base de Dados'!J:J,"ASSINADO")</f>
        <v/>
      </c>
      <c r="K7" s="83">
        <f>SUMIFS('Base de Dados'!I:I,'Base de Dados'!A:A,A7,'Base de Dados'!L:L,"OUT",'Base de Dados'!J:J,"ASSINADO")</f>
        <v/>
      </c>
      <c r="L7" s="83">
        <f>SUMIFS('Base de Dados'!I:I,'Base de Dados'!A:A,A7,'Base de Dados'!L:L,"NOV",'Base de Dados'!J:J,"ASSINADO")</f>
        <v/>
      </c>
      <c r="M7" s="83">
        <f>SUMIFS('Base de Dados'!I:I,'Base de Dados'!A:A,A7,'Base de Dados'!L:L,"DEZ",'Base de Dados'!J:J,"ASSINADO")</f>
        <v/>
      </c>
      <c r="N7" s="103">
        <f>SUM(B7:M7)</f>
        <v/>
      </c>
    </row>
    <row r="8" ht="15" customHeight="1" s="49">
      <c r="A8" s="94" t="inlineStr">
        <is>
          <t>DIMAS</t>
        </is>
      </c>
      <c r="B8" s="83">
        <f>SUMIFS('Base de Dados'!I:I,'Base de Dados'!A:A,A8,'Base de Dados'!L:L,"JAN",'Base de Dados'!J:J,"ASSINADO")</f>
        <v/>
      </c>
      <c r="C8" s="83">
        <f>SUMIFS('Base de Dados'!I:I,'Base de Dados'!A:A,A8,'Base de Dados'!L:L,"FEV",'Base de Dados'!J:J,"ASSINADO")</f>
        <v/>
      </c>
      <c r="D8" s="83">
        <f>SUMIFS('Base de Dados'!I:I,'Base de Dados'!A:A,A8,'Base de Dados'!L:L,"MAR",'Base de Dados'!J:J,"ASSINADO")</f>
        <v/>
      </c>
      <c r="E8" s="83">
        <f>SUMIFS('Base de Dados'!I:I,'Base de Dados'!A:A,A8,'Base de Dados'!L:L,"ABR",'Base de Dados'!J:J,"ASSINADO")</f>
        <v/>
      </c>
      <c r="F8" s="83">
        <f>SUMIFS('Base de Dados'!I:I,'Base de Dados'!A:A,A8,'Base de Dados'!L:L,"MAI",'Base de Dados'!J:J,"ASSINADO")</f>
        <v/>
      </c>
      <c r="G8" s="83">
        <f>SUMIFS('Base de Dados'!I:I,'Base de Dados'!A:A,A8,'Base de Dados'!L:L,"JUN",'Base de Dados'!J:J,"ASSINADO")</f>
        <v/>
      </c>
      <c r="H8" s="83">
        <f>SUMIFS('Base de Dados'!I:I,'Base de Dados'!A:A,A8,'Base de Dados'!L:L,"JUL",'Base de Dados'!J:J,"ASSINADO")</f>
        <v/>
      </c>
      <c r="I8" s="83">
        <f>SUMIFS('Base de Dados'!I:I,'Base de Dados'!A:A,A8,'Base de Dados'!L:L,"AGO",'Base de Dados'!J:J,"ASSINADO")</f>
        <v/>
      </c>
      <c r="J8" s="83">
        <f>SUMIFS('Base de Dados'!I:I,'Base de Dados'!A:A,A8,'Base de Dados'!L:L,"SET",'Base de Dados'!J:J,"ASSINADO")</f>
        <v/>
      </c>
      <c r="K8" s="83">
        <f>SUMIFS('Base de Dados'!I:I,'Base de Dados'!A:A,A8,'Base de Dados'!L:L,"OUT",'Base de Dados'!J:J,"ASSINADO")</f>
        <v/>
      </c>
      <c r="L8" s="83">
        <f>SUMIFS('Base de Dados'!I:I,'Base de Dados'!A:A,A8,'Base de Dados'!L:L,"NOV",'Base de Dados'!J:J,"ASSINADO")</f>
        <v/>
      </c>
      <c r="M8" s="83">
        <f>SUMIFS('Base de Dados'!I:I,'Base de Dados'!A:A,A8,'Base de Dados'!L:L,"DEZ",'Base de Dados'!J:J,"ASSINADO")</f>
        <v/>
      </c>
      <c r="N8" s="103">
        <f>SUM(B8:M8)</f>
        <v/>
      </c>
    </row>
    <row r="9" ht="15" customHeight="1" s="49">
      <c r="A9" s="94" t="inlineStr">
        <is>
          <t>FORTALEZA 2</t>
        </is>
      </c>
      <c r="B9" s="83">
        <f>SUMIFS('Base de Dados'!I:I,'Base de Dados'!A:A,A9,'Base de Dados'!L:L,"JAN",'Base de Dados'!J:J,"ASSINADO")</f>
        <v/>
      </c>
      <c r="C9" s="83">
        <f>SUMIFS('Base de Dados'!I:I,'Base de Dados'!A:A,A9,'Base de Dados'!L:L,"FEV",'Base de Dados'!J:J,"ASSINADO")</f>
        <v/>
      </c>
      <c r="D9" s="83">
        <f>SUMIFS('Base de Dados'!I:I,'Base de Dados'!A:A,A9,'Base de Dados'!L:L,"MAR",'Base de Dados'!J:J,"ASSINADO")</f>
        <v/>
      </c>
      <c r="E9" s="83">
        <f>SUMIFS('Base de Dados'!I:I,'Base de Dados'!A:A,A9,'Base de Dados'!L:L,"ABR",'Base de Dados'!J:J,"ASSINADO")</f>
        <v/>
      </c>
      <c r="F9" s="83">
        <f>SUMIFS('Base de Dados'!I:I,'Base de Dados'!A:A,A9,'Base de Dados'!L:L,"MAI",'Base de Dados'!J:J,"ASSINADO")</f>
        <v/>
      </c>
      <c r="G9" s="83">
        <f>SUMIFS('Base de Dados'!I:I,'Base de Dados'!A:A,A9,'Base de Dados'!L:L,"JUN",'Base de Dados'!J:J,"ASSINADO")</f>
        <v/>
      </c>
      <c r="H9" s="83">
        <f>SUMIFS('Base de Dados'!I:I,'Base de Dados'!A:A,A9,'Base de Dados'!L:L,"JUL",'Base de Dados'!J:J,"ASSINADO")</f>
        <v/>
      </c>
      <c r="I9" s="83">
        <f>SUMIFS('Base de Dados'!I:I,'Base de Dados'!A:A,A9,'Base de Dados'!L:L,"AGO",'Base de Dados'!J:J,"ASSINADO")</f>
        <v/>
      </c>
      <c r="J9" s="83">
        <f>SUMIFS('Base de Dados'!I:I,'Base de Dados'!A:A,A9,'Base de Dados'!L:L,"SET",'Base de Dados'!J:J,"ASSINADO")</f>
        <v/>
      </c>
      <c r="K9" s="83">
        <f>SUMIFS('Base de Dados'!I:I,'Base de Dados'!A:A,A9,'Base de Dados'!L:L,"OUT",'Base de Dados'!J:J,"ASSINADO")</f>
        <v/>
      </c>
      <c r="L9" s="83">
        <f>SUMIFS('Base de Dados'!I:I,'Base de Dados'!A:A,A9,'Base de Dados'!L:L,"NOV",'Base de Dados'!J:J,"ASSINADO")</f>
        <v/>
      </c>
      <c r="M9" s="83">
        <f>SUMIFS('Base de Dados'!I:I,'Base de Dados'!A:A,A9,'Base de Dados'!L:L,"DEZ",'Base de Dados'!J:J,"ASSINADO")</f>
        <v/>
      </c>
      <c r="N9" s="103">
        <f>SUM(B9:M9)</f>
        <v/>
      </c>
    </row>
    <row r="10" ht="15" customHeight="1" s="49">
      <c r="A10" s="94" t="inlineStr">
        <is>
          <t>HEITOR</t>
        </is>
      </c>
      <c r="B10" s="83">
        <f>SUMIFS('Base de Dados'!I:I,'Base de Dados'!A:A,A10,'Base de Dados'!L:L,"JAN",'Base de Dados'!J:J,"ASSINADO")</f>
        <v/>
      </c>
      <c r="C10" s="83">
        <f>SUMIFS('Base de Dados'!I:I,'Base de Dados'!A:A,A10,'Base de Dados'!L:L,"FEV",'Base de Dados'!J:J,"ASSINADO")</f>
        <v/>
      </c>
      <c r="D10" s="83">
        <f>SUMIFS('Base de Dados'!I:I,'Base de Dados'!A:A,A10,'Base de Dados'!L:L,"MAR",'Base de Dados'!J:J,"ASSINADO")</f>
        <v/>
      </c>
      <c r="E10" s="83">
        <f>SUMIFS('Base de Dados'!I:I,'Base de Dados'!A:A,A10,'Base de Dados'!L:L,"ABR",'Base de Dados'!J:J,"ASSINADO")</f>
        <v/>
      </c>
      <c r="F10" s="83">
        <f>SUMIFS('Base de Dados'!I:I,'Base de Dados'!A:A,A10,'Base de Dados'!L:L,"MAI",'Base de Dados'!J:J,"ASSINADO")</f>
        <v/>
      </c>
      <c r="G10" s="83">
        <f>SUMIFS('Base de Dados'!I:I,'Base de Dados'!A:A,A10,'Base de Dados'!L:L,"JUN",'Base de Dados'!J:J,"ASSINADO")</f>
        <v/>
      </c>
      <c r="H10" s="83">
        <f>SUMIFS('Base de Dados'!I:I,'Base de Dados'!A:A,A10,'Base de Dados'!L:L,"JUL",'Base de Dados'!J:J,"ASSINADO")</f>
        <v/>
      </c>
      <c r="I10" s="83">
        <f>SUMIFS('Base de Dados'!I:I,'Base de Dados'!A:A,A10,'Base de Dados'!L:L,"AGO",'Base de Dados'!J:J,"ASSINADO")</f>
        <v/>
      </c>
      <c r="J10" s="83">
        <f>SUMIFS('Base de Dados'!I:I,'Base de Dados'!A:A,A10,'Base de Dados'!L:L,"SET",'Base de Dados'!J:J,"ASSINADO")</f>
        <v/>
      </c>
      <c r="K10" s="83">
        <f>SUMIFS('Base de Dados'!I:I,'Base de Dados'!A:A,A10,'Base de Dados'!L:L,"OUT",'Base de Dados'!J:J,"ASSINADO")</f>
        <v/>
      </c>
      <c r="L10" s="83">
        <f>SUMIFS('Base de Dados'!I:I,'Base de Dados'!A:A,A10,'Base de Dados'!L:L,"NOV",'Base de Dados'!J:J,"ASSINADO")</f>
        <v/>
      </c>
      <c r="M10" s="83">
        <f>SUMIFS('Base de Dados'!I:I,'Base de Dados'!A:A,A10,'Base de Dados'!L:L,"DEZ",'Base de Dados'!J:J,"ASSINADO")</f>
        <v/>
      </c>
      <c r="N10" s="103">
        <f>SUM(B10:M10)</f>
        <v/>
      </c>
    </row>
    <row r="11" ht="15" customHeight="1" s="49">
      <c r="A11" s="94" t="inlineStr">
        <is>
          <t>HUDSON</t>
        </is>
      </c>
      <c r="B11" s="83">
        <f>SUMIFS('Base de Dados'!I:I,'Base de Dados'!A:A,A11,'Base de Dados'!L:L,"JAN",'Base de Dados'!J:J,"ASSINADO")</f>
        <v/>
      </c>
      <c r="C11" s="83">
        <f>SUMIFS('Base de Dados'!I:I,'Base de Dados'!A:A,A11,'Base de Dados'!L:L,"FEV",'Base de Dados'!J:J,"ASSINADO")</f>
        <v/>
      </c>
      <c r="D11" s="83">
        <f>SUMIFS('Base de Dados'!I:I,'Base de Dados'!A:A,A11,'Base de Dados'!L:L,"MAR",'Base de Dados'!J:J,"ASSINADO")</f>
        <v/>
      </c>
      <c r="E11" s="83">
        <f>SUMIFS('Base de Dados'!I:I,'Base de Dados'!A:A,A11,'Base de Dados'!L:L,"ABR",'Base de Dados'!J:J,"ASSINADO")</f>
        <v/>
      </c>
      <c r="F11" s="83">
        <f>SUMIFS('Base de Dados'!I:I,'Base de Dados'!A:A,A11,'Base de Dados'!L:L,"MAI",'Base de Dados'!J:J,"ASSINADO")</f>
        <v/>
      </c>
      <c r="G11" s="83">
        <f>SUMIFS('Base de Dados'!I:I,'Base de Dados'!A:A,A11,'Base de Dados'!L:L,"JUN",'Base de Dados'!J:J,"ASSINADO")</f>
        <v/>
      </c>
      <c r="H11" s="83">
        <f>SUMIFS('Base de Dados'!I:I,'Base de Dados'!A:A,A11,'Base de Dados'!L:L,"JUL",'Base de Dados'!J:J,"ASSINADO")</f>
        <v/>
      </c>
      <c r="I11" s="83">
        <f>SUMIFS('Base de Dados'!I:I,'Base de Dados'!A:A,A11,'Base de Dados'!L:L,"AGO",'Base de Dados'!J:J,"ASSINADO")</f>
        <v/>
      </c>
      <c r="J11" s="83">
        <f>SUMIFS('Base de Dados'!I:I,'Base de Dados'!A:A,A11,'Base de Dados'!L:L,"SET",'Base de Dados'!J:J,"ASSINADO")</f>
        <v/>
      </c>
      <c r="K11" s="83">
        <f>SUMIFS('Base de Dados'!I:I,'Base de Dados'!A:A,A11,'Base de Dados'!L:L,"OUT",'Base de Dados'!J:J,"ASSINADO")</f>
        <v/>
      </c>
      <c r="L11" s="83">
        <f>SUMIFS('Base de Dados'!I:I,'Base de Dados'!A:A,A11,'Base de Dados'!L:L,"NOV",'Base de Dados'!J:J,"ASSINADO")</f>
        <v/>
      </c>
      <c r="M11" s="83">
        <f>SUMIFS('Base de Dados'!I:I,'Base de Dados'!A:A,A11,'Base de Dados'!L:L,"DEZ",'Base de Dados'!J:J,"ASSINADO")</f>
        <v/>
      </c>
      <c r="N11" s="103">
        <f>SUM(B11:M11)</f>
        <v/>
      </c>
    </row>
    <row r="12" ht="15" customHeight="1" s="49">
      <c r="A12" s="94" t="inlineStr">
        <is>
          <t>KATARINI</t>
        </is>
      </c>
      <c r="B12" s="83">
        <f>SUMIFS('Base de Dados'!I:I,'Base de Dados'!A:A,A12,'Base de Dados'!L:L,"JAN",'Base de Dados'!J:J,"ASSINADO")</f>
        <v/>
      </c>
      <c r="C12" s="83">
        <f>SUMIFS('Base de Dados'!I:I,'Base de Dados'!A:A,A12,'Base de Dados'!L:L,"FEV",'Base de Dados'!J:J,"ASSINADO")</f>
        <v/>
      </c>
      <c r="D12" s="83">
        <f>SUMIFS('Base de Dados'!I:I,'Base de Dados'!A:A,A12,'Base de Dados'!L:L,"MAR",'Base de Dados'!J:J,"ASSINADO")</f>
        <v/>
      </c>
      <c r="E12" s="83">
        <f>SUMIFS('Base de Dados'!I:I,'Base de Dados'!A:A,A12,'Base de Dados'!L:L,"ABR",'Base de Dados'!J:J,"ASSINADO")</f>
        <v/>
      </c>
      <c r="F12" s="83">
        <f>SUMIFS('Base de Dados'!I:I,'Base de Dados'!A:A,A12,'Base de Dados'!L:L,"MAI",'Base de Dados'!J:J,"ASSINADO")</f>
        <v/>
      </c>
      <c r="G12" s="83">
        <f>SUMIFS('Base de Dados'!I:I,'Base de Dados'!A:A,A12,'Base de Dados'!L:L,"JUN",'Base de Dados'!J:J,"ASSINADO")</f>
        <v/>
      </c>
      <c r="H12" s="83">
        <f>SUMIFS('Base de Dados'!I:I,'Base de Dados'!A:A,A12,'Base de Dados'!L:L,"JUL",'Base de Dados'!J:J,"ASSINADO")</f>
        <v/>
      </c>
      <c r="I12" s="83">
        <f>SUMIFS('Base de Dados'!I:I,'Base de Dados'!A:A,A12,'Base de Dados'!L:L,"AGO",'Base de Dados'!J:J,"ASSINADO")</f>
        <v/>
      </c>
      <c r="J12" s="83">
        <f>SUMIFS('Base de Dados'!I:I,'Base de Dados'!A:A,A12,'Base de Dados'!L:L,"SET",'Base de Dados'!J:J,"ASSINADO")</f>
        <v/>
      </c>
      <c r="K12" s="83">
        <f>SUMIFS('Base de Dados'!I:I,'Base de Dados'!A:A,A12,'Base de Dados'!L:L,"OUT",'Base de Dados'!J:J,"ASSINADO")</f>
        <v/>
      </c>
      <c r="L12" s="83">
        <f>SUMIFS('Base de Dados'!I:I,'Base de Dados'!A:A,A12,'Base de Dados'!L:L,"NOV",'Base de Dados'!J:J,"ASSINADO")</f>
        <v/>
      </c>
      <c r="M12" s="83">
        <f>SUMIFS('Base de Dados'!I:I,'Base de Dados'!A:A,A12,'Base de Dados'!L:L,"DEZ",'Base de Dados'!J:J,"ASSINADO")</f>
        <v/>
      </c>
      <c r="N12" s="103">
        <f>SUM(B12:M12)</f>
        <v/>
      </c>
    </row>
    <row r="13" ht="15" customHeight="1" s="49">
      <c r="A13" s="94" t="inlineStr">
        <is>
          <t>LEANDRO</t>
        </is>
      </c>
      <c r="B13" s="83">
        <f>SUMIFS('Base de Dados'!I:I,'Base de Dados'!A:A,A13,'Base de Dados'!L:L,"JAN",'Base de Dados'!J:J,"ASSINADO")</f>
        <v/>
      </c>
      <c r="C13" s="83">
        <f>SUMIFS('Base de Dados'!I:I,'Base de Dados'!A:A,A13,'Base de Dados'!L:L,"FEV",'Base de Dados'!J:J,"ASSINADO")</f>
        <v/>
      </c>
      <c r="D13" s="83">
        <f>SUMIFS('Base de Dados'!I:I,'Base de Dados'!A:A,A13,'Base de Dados'!L:L,"MAR",'Base de Dados'!J:J,"ASSINADO")</f>
        <v/>
      </c>
      <c r="E13" s="83">
        <f>SUMIFS('Base de Dados'!I:I,'Base de Dados'!A:A,A13,'Base de Dados'!L:L,"ABR",'Base de Dados'!J:J,"ASSINADO")</f>
        <v/>
      </c>
      <c r="F13" s="83">
        <f>SUMIFS('Base de Dados'!I:I,'Base de Dados'!A:A,A13,'Base de Dados'!L:L,"MAI",'Base de Dados'!J:J,"ASSINADO")</f>
        <v/>
      </c>
      <c r="G13" s="83">
        <f>SUMIFS('Base de Dados'!I:I,'Base de Dados'!A:A,A13,'Base de Dados'!L:L,"JUN",'Base de Dados'!J:J,"ASSINADO")</f>
        <v/>
      </c>
      <c r="H13" s="83">
        <f>SUMIFS('Base de Dados'!I:I,'Base de Dados'!A:A,A13,'Base de Dados'!L:L,"JUL",'Base de Dados'!J:J,"ASSINADO")</f>
        <v/>
      </c>
      <c r="I13" s="83">
        <f>SUMIFS('Base de Dados'!I:I,'Base de Dados'!A:A,A13,'Base de Dados'!L:L,"AGO",'Base de Dados'!J:J,"ASSINADO")</f>
        <v/>
      </c>
      <c r="J13" s="83">
        <f>SUMIFS('Base de Dados'!I:I,'Base de Dados'!A:A,A13,'Base de Dados'!L:L,"SET",'Base de Dados'!J:J,"ASSINADO")</f>
        <v/>
      </c>
      <c r="K13" s="83">
        <f>SUMIFS('Base de Dados'!I:I,'Base de Dados'!A:A,A13,'Base de Dados'!L:L,"OUT",'Base de Dados'!J:J,"ASSINADO")</f>
        <v/>
      </c>
      <c r="L13" s="83">
        <f>SUMIFS('Base de Dados'!I:I,'Base de Dados'!A:A,A13,'Base de Dados'!L:L,"NOV",'Base de Dados'!J:J,"ASSINADO")</f>
        <v/>
      </c>
      <c r="M13" s="83">
        <f>SUMIFS('Base de Dados'!I:I,'Base de Dados'!A:A,A13,'Base de Dados'!L:L,"DEZ",'Base de Dados'!J:J,"ASSINADO")</f>
        <v/>
      </c>
      <c r="N13" s="103">
        <f>SUM(B13:M13)</f>
        <v/>
      </c>
    </row>
    <row r="14" ht="15" customHeight="1" s="49">
      <c r="A14" s="94" t="inlineStr">
        <is>
          <t>NATHALIA</t>
        </is>
      </c>
      <c r="B14" s="83">
        <f>SUMIFS('Base de Dados'!I:I,'Base de Dados'!A:A,A14,'Base de Dados'!L:L,"JAN",'Base de Dados'!J:J,"ASSINADO")</f>
        <v/>
      </c>
      <c r="C14" s="83">
        <f>SUMIFS('Base de Dados'!I:I,'Base de Dados'!A:A,A14,'Base de Dados'!L:L,"FEV",'Base de Dados'!J:J,"ASSINADO")</f>
        <v/>
      </c>
      <c r="D14" s="83">
        <f>SUMIFS('Base de Dados'!I:I,'Base de Dados'!A:A,A14,'Base de Dados'!L:L,"MAR",'Base de Dados'!J:J,"ASSINADO")</f>
        <v/>
      </c>
      <c r="E14" s="83">
        <f>SUMIFS('Base de Dados'!I:I,'Base de Dados'!A:A,A14,'Base de Dados'!L:L,"ABR",'Base de Dados'!J:J,"ASSINADO")</f>
        <v/>
      </c>
      <c r="F14" s="83">
        <f>SUMIFS('Base de Dados'!I:I,'Base de Dados'!A:A,A14,'Base de Dados'!L:L,"MAI",'Base de Dados'!J:J,"ASSINADO")</f>
        <v/>
      </c>
      <c r="G14" s="83">
        <f>SUMIFS('Base de Dados'!I:I,'Base de Dados'!A:A,A14,'Base de Dados'!L:L,"JUN",'Base de Dados'!J:J,"ASSINADO")</f>
        <v/>
      </c>
      <c r="H14" s="83">
        <f>SUMIFS('Base de Dados'!I:I,'Base de Dados'!A:A,A14,'Base de Dados'!L:L,"JUL",'Base de Dados'!J:J,"ASSINADO")</f>
        <v/>
      </c>
      <c r="I14" s="83">
        <f>SUMIFS('Base de Dados'!I:I,'Base de Dados'!A:A,A14,'Base de Dados'!L:L,"AGO",'Base de Dados'!J:J,"ASSINADO")</f>
        <v/>
      </c>
      <c r="J14" s="83">
        <f>SUMIFS('Base de Dados'!I:I,'Base de Dados'!A:A,A14,'Base de Dados'!L:L,"SET",'Base de Dados'!J:J,"ASSINADO")</f>
        <v/>
      </c>
      <c r="K14" s="83">
        <f>SUMIFS('Base de Dados'!I:I,'Base de Dados'!A:A,A14,'Base de Dados'!L:L,"OUT",'Base de Dados'!J:J,"ASSINADO")</f>
        <v/>
      </c>
      <c r="L14" s="83">
        <f>SUMIFS('Base de Dados'!I:I,'Base de Dados'!A:A,A14,'Base de Dados'!L:L,"NOV",'Base de Dados'!J:J,"ASSINADO")</f>
        <v/>
      </c>
      <c r="M14" s="83">
        <f>SUMIFS('Base de Dados'!I:I,'Base de Dados'!A:A,A14,'Base de Dados'!L:L,"DEZ",'Base de Dados'!J:J,"ASSINADO")</f>
        <v/>
      </c>
      <c r="N14" s="103">
        <f>SUM(B14:M14)</f>
        <v/>
      </c>
    </row>
    <row r="15" ht="15" customHeight="1" s="49">
      <c r="A15" s="94" t="inlineStr">
        <is>
          <t>ORLANDO</t>
        </is>
      </c>
      <c r="B15" s="83">
        <f>SUMIFS('Base de Dados'!I:I,'Base de Dados'!A:A,A15,'Base de Dados'!L:L,"JAN",'Base de Dados'!J:J,"ASSINADO")</f>
        <v/>
      </c>
      <c r="C15" s="83">
        <f>SUMIFS('Base de Dados'!I:I,'Base de Dados'!A:A,A15,'Base de Dados'!L:L,"FEV",'Base de Dados'!J:J,"ASSINADO")</f>
        <v/>
      </c>
      <c r="D15" s="83">
        <f>SUMIFS('Base de Dados'!I:I,'Base de Dados'!A:A,A15,'Base de Dados'!L:L,"MAR",'Base de Dados'!J:J,"ASSINADO")</f>
        <v/>
      </c>
      <c r="E15" s="83">
        <f>SUMIFS('Base de Dados'!I:I,'Base de Dados'!A:A,A15,'Base de Dados'!L:L,"ABR",'Base de Dados'!J:J,"ASSINADO")</f>
        <v/>
      </c>
      <c r="F15" s="83">
        <f>SUMIFS('Base de Dados'!I:I,'Base de Dados'!A:A,A15,'Base de Dados'!L:L,"MAI",'Base de Dados'!J:J,"ASSINADO")</f>
        <v/>
      </c>
      <c r="G15" s="83">
        <f>SUMIFS('Base de Dados'!I:I,'Base de Dados'!A:A,A15,'Base de Dados'!L:L,"JUN",'Base de Dados'!J:J,"ASSINADO")</f>
        <v/>
      </c>
      <c r="H15" s="83">
        <f>SUMIFS('Base de Dados'!I:I,'Base de Dados'!A:A,A15,'Base de Dados'!L:L,"JUL",'Base de Dados'!J:J,"ASSINADO")</f>
        <v/>
      </c>
      <c r="I15" s="83">
        <f>SUMIFS('Base de Dados'!I:I,'Base de Dados'!A:A,A15,'Base de Dados'!L:L,"AGO",'Base de Dados'!J:J,"ASSINADO")</f>
        <v/>
      </c>
      <c r="J15" s="83">
        <f>SUMIFS('Base de Dados'!I:I,'Base de Dados'!A:A,A15,'Base de Dados'!L:L,"SET",'Base de Dados'!J:J,"ASSINADO")</f>
        <v/>
      </c>
      <c r="K15" s="83">
        <f>SUMIFS('Base de Dados'!I:I,'Base de Dados'!A:A,A15,'Base de Dados'!L:L,"OUT",'Base de Dados'!J:J,"ASSINADO")</f>
        <v/>
      </c>
      <c r="L15" s="83">
        <f>SUMIFS('Base de Dados'!I:I,'Base de Dados'!A:A,A15,'Base de Dados'!L:L,"NOV",'Base de Dados'!J:J,"ASSINADO")</f>
        <v/>
      </c>
      <c r="M15" s="83">
        <f>SUMIFS('Base de Dados'!I:I,'Base de Dados'!A:A,A15,'Base de Dados'!L:L,"DEZ",'Base de Dados'!J:J,"ASSINADO")</f>
        <v/>
      </c>
      <c r="N15" s="103">
        <f>SUM(B15:M15)</f>
        <v/>
      </c>
    </row>
    <row r="16" ht="15" customHeight="1" s="49">
      <c r="A16" s="94" t="inlineStr">
        <is>
          <t>PIAUI 2</t>
        </is>
      </c>
      <c r="B16" s="83">
        <f>SUMIFS('Base de Dados'!I:I,'Base de Dados'!A:A,A16,'Base de Dados'!L:L,"JAN",'Base de Dados'!J:J,"ASSINADO")</f>
        <v/>
      </c>
      <c r="C16" s="83">
        <f>SUMIFS('Base de Dados'!I:I,'Base de Dados'!A:A,A16,'Base de Dados'!L:L,"FEV",'Base de Dados'!J:J,"ASSINADO")</f>
        <v/>
      </c>
      <c r="D16" s="83">
        <f>SUMIFS('Base de Dados'!I:I,'Base de Dados'!A:A,A16,'Base de Dados'!L:L,"MAR",'Base de Dados'!J:J,"ASSINADO")</f>
        <v/>
      </c>
      <c r="E16" s="83">
        <f>SUMIFS('Base de Dados'!I:I,'Base de Dados'!A:A,A16,'Base de Dados'!L:L,"ABR",'Base de Dados'!J:J,"ASSINADO")</f>
        <v/>
      </c>
      <c r="F16" s="83">
        <f>SUMIFS('Base de Dados'!I:I,'Base de Dados'!A:A,A16,'Base de Dados'!L:L,"MAI",'Base de Dados'!J:J,"ASSINADO")</f>
        <v/>
      </c>
      <c r="G16" s="83">
        <f>SUMIFS('Base de Dados'!I:I,'Base de Dados'!A:A,A16,'Base de Dados'!L:L,"JUN",'Base de Dados'!J:J,"ASSINADO")</f>
        <v/>
      </c>
      <c r="H16" s="83">
        <f>SUMIFS('Base de Dados'!I:I,'Base de Dados'!A:A,A16,'Base de Dados'!L:L,"JUL",'Base de Dados'!J:J,"ASSINADO")</f>
        <v/>
      </c>
      <c r="I16" s="83">
        <f>SUMIFS('Base de Dados'!I:I,'Base de Dados'!A:A,A16,'Base de Dados'!L:L,"AGO",'Base de Dados'!J:J,"ASSINADO")</f>
        <v/>
      </c>
      <c r="J16" s="83">
        <f>SUMIFS('Base de Dados'!I:I,'Base de Dados'!A:A,A16,'Base de Dados'!L:L,"SET",'Base de Dados'!J:J,"ASSINADO")</f>
        <v/>
      </c>
      <c r="K16" s="83">
        <f>SUMIFS('Base de Dados'!I:I,'Base de Dados'!A:A,A16,'Base de Dados'!L:L,"OUT",'Base de Dados'!J:J,"ASSINADO")</f>
        <v/>
      </c>
      <c r="L16" s="83">
        <f>SUMIFS('Base de Dados'!I:I,'Base de Dados'!A:A,A16,'Base de Dados'!L:L,"NOV",'Base de Dados'!J:J,"ASSINADO")</f>
        <v/>
      </c>
      <c r="M16" s="83">
        <f>SUMIFS('Base de Dados'!I:I,'Base de Dados'!A:A,A16,'Base de Dados'!L:L,"DEZ",'Base de Dados'!J:J,"ASSINADO")</f>
        <v/>
      </c>
      <c r="N16" s="103">
        <f>SUM(B16:M16)</f>
        <v/>
      </c>
    </row>
    <row r="17" ht="15" customHeight="1" s="49">
      <c r="A17" s="94" t="inlineStr">
        <is>
          <t>RAUL</t>
        </is>
      </c>
      <c r="B17" s="83">
        <f>SUMIFS('Base de Dados'!I:I,'Base de Dados'!A:A,A17,'Base de Dados'!L:L,"JAN",'Base de Dados'!J:J,"ASSINADO")</f>
        <v/>
      </c>
      <c r="C17" s="83">
        <f>SUMIFS('Base de Dados'!I:I,'Base de Dados'!A:A,A17,'Base de Dados'!L:L,"FEV",'Base de Dados'!J:J,"ASSINADO")</f>
        <v/>
      </c>
      <c r="D17" s="83">
        <f>SUMIFS('Base de Dados'!I:I,'Base de Dados'!A:A,A17,'Base de Dados'!L:L,"MAR",'Base de Dados'!J:J,"ASSINADO")</f>
        <v/>
      </c>
      <c r="E17" s="83">
        <f>SUMIFS('Base de Dados'!I:I,'Base de Dados'!A:A,A17,'Base de Dados'!L:L,"ABR",'Base de Dados'!J:J,"ASSINADO")</f>
        <v/>
      </c>
      <c r="F17" s="83">
        <f>SUMIFS('Base de Dados'!I:I,'Base de Dados'!A:A,A17,'Base de Dados'!L:L,"MAI",'Base de Dados'!J:J,"ASSINADO")</f>
        <v/>
      </c>
      <c r="G17" s="83">
        <f>SUMIFS('Base de Dados'!I:I,'Base de Dados'!A:A,A17,'Base de Dados'!L:L,"JUN",'Base de Dados'!J:J,"ASSINADO")</f>
        <v/>
      </c>
      <c r="H17" s="83">
        <f>SUMIFS('Base de Dados'!I:I,'Base de Dados'!A:A,A17,'Base de Dados'!L:L,"JUL",'Base de Dados'!J:J,"ASSINADO")</f>
        <v/>
      </c>
      <c r="I17" s="83">
        <f>SUMIFS('Base de Dados'!I:I,'Base de Dados'!A:A,A17,'Base de Dados'!L:L,"AGO",'Base de Dados'!J:J,"ASSINADO")</f>
        <v/>
      </c>
      <c r="J17" s="83">
        <f>SUMIFS('Base de Dados'!I:I,'Base de Dados'!A:A,A17,'Base de Dados'!L:L,"SET",'Base de Dados'!J:J,"ASSINADO")</f>
        <v/>
      </c>
      <c r="K17" s="83">
        <f>SUMIFS('Base de Dados'!I:I,'Base de Dados'!A:A,A17,'Base de Dados'!L:L,"OUT",'Base de Dados'!J:J,"ASSINADO")</f>
        <v/>
      </c>
      <c r="L17" s="83">
        <f>SUMIFS('Base de Dados'!I:I,'Base de Dados'!A:A,A17,'Base de Dados'!L:L,"NOV",'Base de Dados'!J:J,"ASSINADO")</f>
        <v/>
      </c>
      <c r="M17" s="83">
        <f>SUMIFS('Base de Dados'!I:I,'Base de Dados'!A:A,A17,'Base de Dados'!L:L,"DEZ",'Base de Dados'!J:J,"ASSINADO")</f>
        <v/>
      </c>
      <c r="N17" s="103">
        <f>SUM(B17:M17)</f>
        <v/>
      </c>
    </row>
    <row r="18" ht="15" customHeight="1" s="49">
      <c r="A18" s="94" t="inlineStr">
        <is>
          <t>SILAS</t>
        </is>
      </c>
      <c r="B18" s="83">
        <f>SUMIFS('Base de Dados'!I:I,'Base de Dados'!A:A,A18,'Base de Dados'!L:L,"JAN",'Base de Dados'!J:J,"ASSINADO")</f>
        <v/>
      </c>
      <c r="C18" s="83">
        <f>SUMIFS('Base de Dados'!I:I,'Base de Dados'!A:A,A18,'Base de Dados'!L:L,"FEV",'Base de Dados'!J:J,"ASSINADO")</f>
        <v/>
      </c>
      <c r="D18" s="83">
        <f>SUMIFS('Base de Dados'!I:I,'Base de Dados'!A:A,A18,'Base de Dados'!L:L,"MAR",'Base de Dados'!J:J,"ASSINADO")</f>
        <v/>
      </c>
      <c r="E18" s="83">
        <f>SUMIFS('Base de Dados'!I:I,'Base de Dados'!A:A,A18,'Base de Dados'!L:L,"ABR",'Base de Dados'!J:J,"ASSINADO")</f>
        <v/>
      </c>
      <c r="F18" s="83">
        <f>SUMIFS('Base de Dados'!I:I,'Base de Dados'!A:A,A18,'Base de Dados'!L:L,"MAI",'Base de Dados'!J:J,"ASSINADO")</f>
        <v/>
      </c>
      <c r="G18" s="83">
        <f>SUMIFS('Base de Dados'!I:I,'Base de Dados'!A:A,A18,'Base de Dados'!L:L,"JUN",'Base de Dados'!J:J,"ASSINADO")</f>
        <v/>
      </c>
      <c r="H18" s="83">
        <f>SUMIFS('Base de Dados'!I:I,'Base de Dados'!A:A,A18,'Base de Dados'!L:L,"JUL",'Base de Dados'!J:J,"ASSINADO")</f>
        <v/>
      </c>
      <c r="I18" s="83">
        <f>SUMIFS('Base de Dados'!I:I,'Base de Dados'!A:A,A18,'Base de Dados'!L:L,"AGO",'Base de Dados'!J:J,"ASSINADO")</f>
        <v/>
      </c>
      <c r="J18" s="83">
        <f>SUMIFS('Base de Dados'!I:I,'Base de Dados'!A:A,A18,'Base de Dados'!L:L,"SET",'Base de Dados'!J:J,"ASSINADO")</f>
        <v/>
      </c>
      <c r="K18" s="83">
        <f>SUMIFS('Base de Dados'!I:I,'Base de Dados'!A:A,A18,'Base de Dados'!L:L,"OUT",'Base de Dados'!J:J,"ASSINADO")</f>
        <v/>
      </c>
      <c r="L18" s="83">
        <f>SUMIFS('Base de Dados'!I:I,'Base de Dados'!A:A,A18,'Base de Dados'!L:L,"NOV",'Base de Dados'!J:J,"ASSINADO")</f>
        <v/>
      </c>
      <c r="M18" s="83">
        <f>SUMIFS('Base de Dados'!I:I,'Base de Dados'!A:A,A18,'Base de Dados'!L:L,"DEZ",'Base de Dados'!J:J,"ASSINADO")</f>
        <v/>
      </c>
      <c r="N18" s="103">
        <f>SUM(B18:M18)</f>
        <v/>
      </c>
    </row>
    <row r="19" ht="15" customHeight="1" s="49">
      <c r="A19" s="94" t="inlineStr">
        <is>
          <t>THIAGO</t>
        </is>
      </c>
      <c r="B19" s="83">
        <f>SUMIFS('Base de Dados'!I:I,'Base de Dados'!A:A,A19,'Base de Dados'!L:L,"JAN",'Base de Dados'!J:J,"ASSINADO")</f>
        <v/>
      </c>
      <c r="C19" s="83">
        <f>SUMIFS('Base de Dados'!I:I,'Base de Dados'!A:A,A19,'Base de Dados'!L:L,"FEV",'Base de Dados'!J:J,"ASSINADO")</f>
        <v/>
      </c>
      <c r="D19" s="83">
        <f>SUMIFS('Base de Dados'!I:I,'Base de Dados'!A:A,A19,'Base de Dados'!L:L,"MAR",'Base de Dados'!J:J,"ASSINADO")</f>
        <v/>
      </c>
      <c r="E19" s="83">
        <f>SUMIFS('Base de Dados'!I:I,'Base de Dados'!A:A,A19,'Base de Dados'!L:L,"ABR",'Base de Dados'!J:J,"ASSINADO")</f>
        <v/>
      </c>
      <c r="F19" s="83">
        <f>SUMIFS('Base de Dados'!I:I,'Base de Dados'!A:A,A19,'Base de Dados'!L:L,"MAI",'Base de Dados'!J:J,"ASSINADO")</f>
        <v/>
      </c>
      <c r="G19" s="83">
        <f>SUMIFS('Base de Dados'!I:I,'Base de Dados'!A:A,A19,'Base de Dados'!L:L,"JUN",'Base de Dados'!J:J,"ASSINADO")</f>
        <v/>
      </c>
      <c r="H19" s="83">
        <f>SUMIFS('Base de Dados'!I:I,'Base de Dados'!A:A,A19,'Base de Dados'!L:L,"JUL",'Base de Dados'!J:J,"ASSINADO")</f>
        <v/>
      </c>
      <c r="I19" s="83">
        <f>SUMIFS('Base de Dados'!I:I,'Base de Dados'!A:A,A19,'Base de Dados'!L:L,"AGO",'Base de Dados'!J:J,"ASSINADO")</f>
        <v/>
      </c>
      <c r="J19" s="83">
        <f>SUMIFS('Base de Dados'!I:I,'Base de Dados'!A:A,A19,'Base de Dados'!L:L,"SET",'Base de Dados'!J:J,"ASSINADO")</f>
        <v/>
      </c>
      <c r="K19" s="83">
        <f>SUMIFS('Base de Dados'!I:I,'Base de Dados'!A:A,A19,'Base de Dados'!L:L,"OUT",'Base de Dados'!J:J,"ASSINADO")</f>
        <v/>
      </c>
      <c r="L19" s="83">
        <f>SUMIFS('Base de Dados'!I:I,'Base de Dados'!A:A,A19,'Base de Dados'!L:L,"NOV",'Base de Dados'!J:J,"ASSINADO")</f>
        <v/>
      </c>
      <c r="M19" s="83">
        <f>SUMIFS('Base de Dados'!I:I,'Base de Dados'!A:A,A19,'Base de Dados'!L:L,"DEZ",'Base de Dados'!J:J,"ASSINADO")</f>
        <v/>
      </c>
      <c r="N19" s="103">
        <f>SUM(B19:M19)</f>
        <v/>
      </c>
    </row>
    <row r="20" ht="15" customHeight="1" s="49">
      <c r="A20" s="85" t="inlineStr">
        <is>
          <t>TOTAL</t>
        </is>
      </c>
      <c r="B20" s="86">
        <f>SUM(B4:B19)</f>
        <v/>
      </c>
      <c r="C20" s="86">
        <f>SUM(C4:C19)</f>
        <v/>
      </c>
      <c r="D20" s="86">
        <f>SUM(D4:D19)</f>
        <v/>
      </c>
      <c r="E20" s="86">
        <f>SUM(E4:E19)</f>
        <v/>
      </c>
      <c r="F20" s="86">
        <f>SUM(F4:F19)</f>
        <v/>
      </c>
      <c r="G20" s="86">
        <f>SUM(G4:G19)</f>
        <v/>
      </c>
      <c r="H20" s="86">
        <f>SUM(H4:H19)</f>
        <v/>
      </c>
      <c r="I20" s="86">
        <f>SUM(I4:I19)</f>
        <v/>
      </c>
      <c r="J20" s="86">
        <f>SUM(J4:J19)</f>
        <v/>
      </c>
      <c r="K20" s="86">
        <f>SUM(K4:K19)</f>
        <v/>
      </c>
      <c r="L20" s="86">
        <f>SUM(L4:L19)</f>
        <v/>
      </c>
      <c r="M20" s="86">
        <f>SUM(M4:M19)</f>
        <v/>
      </c>
      <c r="N20" s="86">
        <f>SUM(B20:M20)</f>
        <v/>
      </c>
    </row>
  </sheetData>
  <mergeCells count="1">
    <mergeCell ref="A1:N1"/>
  </mergeCells>
  <conditionalFormatting sqref="N4:N19">
    <cfRule type="dataBar" priority="2">
      <dataBar minLength="10" maxLength="90" showValue="1">
        <cfvo type="min" val="0"/>
        <cfvo type="max" val="0"/>
        <color rgb="FF2E75B6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48" min="1" max="1"/>
    <col width="13" customWidth="1" style="48" min="2" max="13"/>
    <col width="16" customWidth="1" style="48" min="14" max="14"/>
  </cols>
  <sheetData>
    <row r="1" ht="17.25" customHeight="1" s="49">
      <c r="A1" s="80" t="inlineStr">
        <is>
          <t>METAS POR HUNTER (R$)</t>
        </is>
      </c>
    </row>
    <row r="3" ht="24" customHeight="1" s="49">
      <c r="A3" s="81" t="inlineStr">
        <is>
          <t>HUNTER</t>
        </is>
      </c>
      <c r="B3" s="81" t="inlineStr">
        <is>
          <t>JAN</t>
        </is>
      </c>
      <c r="C3" s="81" t="inlineStr">
        <is>
          <t>FEV</t>
        </is>
      </c>
      <c r="D3" s="81" t="inlineStr">
        <is>
          <t>MAR</t>
        </is>
      </c>
      <c r="E3" s="81" t="inlineStr">
        <is>
          <t>ABR</t>
        </is>
      </c>
      <c r="F3" s="81" t="inlineStr">
        <is>
          <t>MAI</t>
        </is>
      </c>
      <c r="G3" s="81" t="inlineStr">
        <is>
          <t>JUN</t>
        </is>
      </c>
      <c r="H3" s="81" t="inlineStr">
        <is>
          <t>JUL</t>
        </is>
      </c>
      <c r="I3" s="81" t="inlineStr">
        <is>
          <t>AGO</t>
        </is>
      </c>
      <c r="J3" s="81" t="inlineStr">
        <is>
          <t>SET</t>
        </is>
      </c>
      <c r="K3" s="81" t="inlineStr">
        <is>
          <t>OUT</t>
        </is>
      </c>
      <c r="L3" s="81" t="inlineStr">
        <is>
          <t>NOV</t>
        </is>
      </c>
      <c r="M3" s="81" t="inlineStr">
        <is>
          <t>DEZ</t>
        </is>
      </c>
      <c r="N3" s="81" t="inlineStr">
        <is>
          <t>TOTAL ANO</t>
        </is>
      </c>
    </row>
    <row r="4" ht="15" customHeight="1" s="49">
      <c r="A4" s="94" t="inlineStr">
        <is>
          <t>HUDSON</t>
        </is>
      </c>
      <c r="B4" s="83" t="n">
        <v>168000</v>
      </c>
      <c r="C4" s="83" t="n">
        <v>252000</v>
      </c>
      <c r="D4" s="83" t="n">
        <v>336000</v>
      </c>
      <c r="E4" s="83" t="n">
        <v>336000</v>
      </c>
      <c r="F4" s="83" t="n">
        <v>252000</v>
      </c>
      <c r="G4" s="83" t="n">
        <v>336000</v>
      </c>
      <c r="H4" s="83" t="n">
        <v>504000</v>
      </c>
      <c r="I4" s="83" t="n">
        <v>378000</v>
      </c>
      <c r="J4" s="83" t="n">
        <v>504000</v>
      </c>
      <c r="K4" s="83" t="n">
        <v>504000</v>
      </c>
      <c r="L4" s="83" t="n">
        <v>378000</v>
      </c>
      <c r="M4" s="83" t="n">
        <v>252000</v>
      </c>
      <c r="N4" s="103">
        <f>SUM(B4:M4)</f>
        <v/>
      </c>
    </row>
    <row r="5" ht="15" customHeight="1" s="49">
      <c r="A5" s="94" t="inlineStr">
        <is>
          <t>DIMAS</t>
        </is>
      </c>
      <c r="B5" s="83" t="n">
        <v>128000</v>
      </c>
      <c r="C5" s="83" t="n">
        <v>192000</v>
      </c>
      <c r="D5" s="83" t="n">
        <v>256000</v>
      </c>
      <c r="E5" s="83" t="n">
        <v>256000</v>
      </c>
      <c r="F5" s="83" t="n">
        <v>192000</v>
      </c>
      <c r="G5" s="83" t="n">
        <v>256000</v>
      </c>
      <c r="H5" s="83" t="n">
        <v>384000</v>
      </c>
      <c r="I5" s="83" t="n">
        <v>288000</v>
      </c>
      <c r="J5" s="83" t="n">
        <v>384000</v>
      </c>
      <c r="K5" s="83" t="n">
        <v>384000</v>
      </c>
      <c r="L5" s="83" t="n">
        <v>288000</v>
      </c>
      <c r="M5" s="83" t="n">
        <v>192000</v>
      </c>
      <c r="N5" s="103">
        <f>SUM(B5:M5)</f>
        <v/>
      </c>
    </row>
    <row r="6" ht="15" customHeight="1" s="49">
      <c r="A6" s="94" t="inlineStr">
        <is>
          <t>HEITOR</t>
        </is>
      </c>
      <c r="B6" s="83" t="n">
        <v>128000</v>
      </c>
      <c r="C6" s="83" t="n">
        <v>192000</v>
      </c>
      <c r="D6" s="83" t="n">
        <v>256000</v>
      </c>
      <c r="E6" s="83" t="n">
        <v>256000</v>
      </c>
      <c r="F6" s="83" t="n">
        <v>192000</v>
      </c>
      <c r="G6" s="83" t="n">
        <v>256000</v>
      </c>
      <c r="H6" s="83" t="n">
        <v>384000</v>
      </c>
      <c r="I6" s="83" t="n">
        <v>288000</v>
      </c>
      <c r="J6" s="83" t="n">
        <v>384000</v>
      </c>
      <c r="K6" s="83" t="n">
        <v>384000</v>
      </c>
      <c r="L6" s="83" t="n">
        <v>288000</v>
      </c>
      <c r="M6" s="83" t="n">
        <v>192000</v>
      </c>
      <c r="N6" s="103">
        <f>SUM(B6:M6)</f>
        <v/>
      </c>
    </row>
    <row r="7" ht="15" customHeight="1" s="49">
      <c r="A7" s="94" t="inlineStr">
        <is>
          <t>CINTHIA</t>
        </is>
      </c>
      <c r="B7" s="83" t="n">
        <v>128000</v>
      </c>
      <c r="C7" s="83" t="n">
        <v>192000</v>
      </c>
      <c r="D7" s="83" t="n">
        <v>256000</v>
      </c>
      <c r="E7" s="83" t="n">
        <v>256000</v>
      </c>
      <c r="F7" s="83" t="n">
        <v>192000</v>
      </c>
      <c r="G7" s="83" t="n">
        <v>256000</v>
      </c>
      <c r="H7" s="83" t="n">
        <v>384000</v>
      </c>
      <c r="I7" s="83" t="n">
        <v>288000</v>
      </c>
      <c r="J7" s="83" t="n">
        <v>384000</v>
      </c>
      <c r="K7" s="83" t="n">
        <v>384000</v>
      </c>
      <c r="L7" s="83" t="n">
        <v>288000</v>
      </c>
      <c r="M7" s="83" t="n">
        <v>192000</v>
      </c>
      <c r="N7" s="103">
        <f>SUM(B7:M7)</f>
        <v/>
      </c>
    </row>
    <row r="8" ht="15" customHeight="1" s="49">
      <c r="A8" s="94" t="inlineStr">
        <is>
          <t>BRUNA</t>
        </is>
      </c>
      <c r="B8" s="83" t="n">
        <v>128000</v>
      </c>
      <c r="C8" s="83" t="n">
        <v>192000</v>
      </c>
      <c r="D8" s="83" t="n">
        <v>256000</v>
      </c>
      <c r="E8" s="83" t="n">
        <v>256000</v>
      </c>
      <c r="F8" s="83" t="n">
        <v>192000</v>
      </c>
      <c r="G8" s="83" t="n">
        <v>256000</v>
      </c>
      <c r="H8" s="83" t="n">
        <v>384000</v>
      </c>
      <c r="I8" s="83" t="n">
        <v>288000</v>
      </c>
      <c r="J8" s="83" t="n">
        <v>384000</v>
      </c>
      <c r="K8" s="83" t="n">
        <v>384000</v>
      </c>
      <c r="L8" s="83" t="n">
        <v>288000</v>
      </c>
      <c r="M8" s="83" t="n">
        <v>192000</v>
      </c>
      <c r="N8" s="103">
        <f>SUM(B8:M8)</f>
        <v/>
      </c>
    </row>
    <row r="9" ht="15" customHeight="1" s="49">
      <c r="A9" s="94" t="inlineStr">
        <is>
          <t>LEANDRO</t>
        </is>
      </c>
      <c r="B9" s="83" t="n">
        <v>128000</v>
      </c>
      <c r="C9" s="83" t="n">
        <v>192000</v>
      </c>
      <c r="D9" s="83" t="n">
        <v>256000</v>
      </c>
      <c r="E9" s="83" t="n">
        <v>256000</v>
      </c>
      <c r="F9" s="83" t="n">
        <v>192000</v>
      </c>
      <c r="G9" s="83" t="n">
        <v>256000</v>
      </c>
      <c r="H9" s="83" t="n">
        <v>384000</v>
      </c>
      <c r="I9" s="83" t="n">
        <v>288000</v>
      </c>
      <c r="J9" s="83" t="n">
        <v>384000</v>
      </c>
      <c r="K9" s="83" t="n">
        <v>384000</v>
      </c>
      <c r="L9" s="83" t="n">
        <v>288000</v>
      </c>
      <c r="M9" s="83" t="n">
        <v>192000</v>
      </c>
      <c r="N9" s="103">
        <f>SUM(B9:M9)</f>
        <v/>
      </c>
    </row>
    <row r="10" ht="15" customHeight="1" s="49">
      <c r="A10" s="94" t="inlineStr">
        <is>
          <t>NATHALIA</t>
        </is>
      </c>
      <c r="B10" s="83" t="n">
        <v>128000</v>
      </c>
      <c r="C10" s="83" t="n">
        <v>192000</v>
      </c>
      <c r="D10" s="83" t="n">
        <v>256000</v>
      </c>
      <c r="E10" s="83" t="n">
        <v>256000</v>
      </c>
      <c r="F10" s="83" t="n">
        <v>192000</v>
      </c>
      <c r="G10" s="83" t="n">
        <v>256000</v>
      </c>
      <c r="H10" s="83" t="n">
        <v>384000</v>
      </c>
      <c r="I10" s="83" t="n">
        <v>288000</v>
      </c>
      <c r="J10" s="83" t="n">
        <v>384000</v>
      </c>
      <c r="K10" s="83" t="n">
        <v>384000</v>
      </c>
      <c r="L10" s="83" t="n">
        <v>288000</v>
      </c>
      <c r="M10" s="83" t="n">
        <v>192000</v>
      </c>
      <c r="N10" s="103">
        <f>SUM(B10:M10)</f>
        <v/>
      </c>
    </row>
    <row r="11" ht="15" customHeight="1" s="49">
      <c r="A11" s="94" t="inlineStr">
        <is>
          <t>ORLANDO</t>
        </is>
      </c>
      <c r="B11" s="83" t="n">
        <v>168000</v>
      </c>
      <c r="C11" s="83" t="n">
        <v>252000</v>
      </c>
      <c r="D11" s="83" t="n">
        <v>336000</v>
      </c>
      <c r="E11" s="83" t="n">
        <v>336000</v>
      </c>
      <c r="F11" s="83" t="n">
        <v>252000</v>
      </c>
      <c r="G11" s="83" t="n">
        <v>336000</v>
      </c>
      <c r="H11" s="83" t="n">
        <v>504000</v>
      </c>
      <c r="I11" s="83" t="n">
        <v>378000</v>
      </c>
      <c r="J11" s="83" t="n">
        <v>504000</v>
      </c>
      <c r="K11" s="83" t="n">
        <v>504000</v>
      </c>
      <c r="L11" s="83" t="n">
        <v>378000</v>
      </c>
      <c r="M11" s="83" t="n">
        <v>252000</v>
      </c>
      <c r="N11" s="103">
        <f>SUM(B11:M11)</f>
        <v/>
      </c>
    </row>
    <row r="12" ht="15" customHeight="1" s="49">
      <c r="A12" s="94" t="inlineStr">
        <is>
          <t>RAUL</t>
        </is>
      </c>
      <c r="B12" s="83" t="n">
        <v>0</v>
      </c>
      <c r="C12" s="83" t="n">
        <v>0</v>
      </c>
      <c r="D12" s="83" t="n">
        <v>264000</v>
      </c>
      <c r="E12" s="83" t="n">
        <v>198000</v>
      </c>
      <c r="F12" s="83" t="n">
        <v>264000</v>
      </c>
      <c r="G12" s="83" t="n">
        <v>264000</v>
      </c>
      <c r="H12" s="83" t="n">
        <v>198000</v>
      </c>
      <c r="I12" s="83" t="n">
        <v>132000</v>
      </c>
      <c r="J12" s="83" t="n">
        <v>264000</v>
      </c>
      <c r="K12" s="83" t="n">
        <v>198000</v>
      </c>
      <c r="L12" s="83" t="n">
        <v>264000</v>
      </c>
      <c r="M12" s="83" t="n">
        <v>128000</v>
      </c>
      <c r="N12" s="103">
        <f>SUM(B12:M12)</f>
        <v/>
      </c>
    </row>
    <row r="13" ht="15" customHeight="1" s="49">
      <c r="A13" s="94" t="inlineStr">
        <is>
          <t>ANDERSON</t>
        </is>
      </c>
      <c r="B13" s="83" t="n">
        <v>0</v>
      </c>
      <c r="C13" s="83" t="n">
        <v>0</v>
      </c>
      <c r="D13" s="83" t="n">
        <v>0</v>
      </c>
      <c r="E13" s="83" t="n">
        <v>100000</v>
      </c>
      <c r="F13" s="83" t="n">
        <v>100000</v>
      </c>
      <c r="G13" s="83" t="n">
        <v>100000</v>
      </c>
      <c r="H13" s="83" t="n">
        <v>300000</v>
      </c>
      <c r="I13" s="83" t="n">
        <v>225000</v>
      </c>
      <c r="J13" s="83" t="n">
        <v>300000</v>
      </c>
      <c r="K13" s="83" t="n">
        <v>300000</v>
      </c>
      <c r="L13" s="83" t="n">
        <v>225000</v>
      </c>
      <c r="M13" s="83" t="n">
        <v>150000</v>
      </c>
      <c r="N13" s="103">
        <f>SUM(B13:M13)</f>
        <v/>
      </c>
    </row>
    <row r="14" ht="15" customHeight="1" s="49">
      <c r="A14" s="94" t="inlineStr">
        <is>
          <t>FORTALEZA 2</t>
        </is>
      </c>
      <c r="B14" s="83" t="n">
        <v>0</v>
      </c>
      <c r="C14" s="83" t="n">
        <v>0</v>
      </c>
      <c r="D14" s="83" t="n">
        <v>0</v>
      </c>
      <c r="E14" s="83" t="n">
        <v>0</v>
      </c>
      <c r="F14" s="83" t="n">
        <v>0</v>
      </c>
      <c r="G14" s="83" t="n">
        <v>0</v>
      </c>
      <c r="H14" s="83" t="n">
        <v>300000</v>
      </c>
      <c r="I14" s="83" t="n">
        <v>225000</v>
      </c>
      <c r="J14" s="83" t="n">
        <v>300000</v>
      </c>
      <c r="K14" s="83" t="n">
        <v>300000</v>
      </c>
      <c r="L14" s="83" t="n">
        <v>225000</v>
      </c>
      <c r="M14" s="83" t="n">
        <v>150000</v>
      </c>
      <c r="N14" s="103">
        <f>SUM(B14:M14)</f>
        <v/>
      </c>
    </row>
    <row r="15" ht="15" customHeight="1" s="49">
      <c r="A15" s="94" t="inlineStr">
        <is>
          <t>KATARINI</t>
        </is>
      </c>
      <c r="B15" s="83" t="n">
        <v>0</v>
      </c>
      <c r="C15" s="83" t="n">
        <v>0</v>
      </c>
      <c r="D15" s="83" t="n">
        <v>0</v>
      </c>
      <c r="E15" s="83" t="n">
        <v>100000</v>
      </c>
      <c r="F15" s="83" t="n">
        <v>100000</v>
      </c>
      <c r="G15" s="83" t="n">
        <v>100000</v>
      </c>
      <c r="H15" s="83" t="n">
        <v>264000</v>
      </c>
      <c r="I15" s="83" t="n">
        <v>198000</v>
      </c>
      <c r="J15" s="83" t="n">
        <v>264000</v>
      </c>
      <c r="K15" s="83" t="n">
        <v>264000</v>
      </c>
      <c r="L15" s="83" t="n">
        <v>198000</v>
      </c>
      <c r="M15" s="83" t="n">
        <v>132000</v>
      </c>
      <c r="N15" s="103">
        <f>SUM(B15:M15)</f>
        <v/>
      </c>
    </row>
    <row r="16" ht="15" customHeight="1" s="49">
      <c r="A16" s="94" t="inlineStr">
        <is>
          <t>THIAGO</t>
        </is>
      </c>
      <c r="B16" s="83" t="n">
        <v>0</v>
      </c>
      <c r="C16" s="83" t="n">
        <v>0</v>
      </c>
      <c r="D16" s="83" t="n">
        <v>0</v>
      </c>
      <c r="E16" s="83" t="n">
        <v>100000</v>
      </c>
      <c r="F16" s="83" t="n">
        <v>100000</v>
      </c>
      <c r="G16" s="83" t="n">
        <v>100000</v>
      </c>
      <c r="H16" s="83" t="n">
        <v>264000</v>
      </c>
      <c r="I16" s="83" t="n">
        <v>198000</v>
      </c>
      <c r="J16" s="83" t="n">
        <v>264000</v>
      </c>
      <c r="K16" s="83" t="n">
        <v>264000</v>
      </c>
      <c r="L16" s="83" t="n">
        <v>198000</v>
      </c>
      <c r="M16" s="83" t="n">
        <v>132000</v>
      </c>
      <c r="N16" s="103">
        <f>SUM(B16:M16)</f>
        <v/>
      </c>
    </row>
    <row r="17" ht="15" customHeight="1" s="49">
      <c r="A17" s="94" t="inlineStr">
        <is>
          <t>PIAUI 2</t>
        </is>
      </c>
      <c r="B17" s="83" t="n">
        <v>0</v>
      </c>
      <c r="C17" s="83" t="n">
        <v>0</v>
      </c>
      <c r="D17" s="83" t="n">
        <v>0</v>
      </c>
      <c r="E17" s="83" t="n">
        <v>0</v>
      </c>
      <c r="F17" s="83" t="n">
        <v>0</v>
      </c>
      <c r="G17" s="83" t="n">
        <v>0</v>
      </c>
      <c r="H17" s="83" t="n">
        <v>264000</v>
      </c>
      <c r="I17" s="83" t="n">
        <v>198000</v>
      </c>
      <c r="J17" s="83" t="n">
        <v>264000</v>
      </c>
      <c r="K17" s="83" t="n">
        <v>264000</v>
      </c>
      <c r="L17" s="83" t="n">
        <v>198000</v>
      </c>
      <c r="M17" s="83" t="n">
        <v>132000</v>
      </c>
      <c r="N17" s="103">
        <f>SUM(B17:M17)</f>
        <v/>
      </c>
    </row>
    <row r="18" ht="15" customHeight="1" s="49">
      <c r="A18" s="94" t="inlineStr">
        <is>
          <t>SILAS</t>
        </is>
      </c>
      <c r="B18" s="83" t="n">
        <v>0</v>
      </c>
      <c r="C18" s="83" t="n">
        <v>0</v>
      </c>
      <c r="D18" s="83" t="n">
        <v>0</v>
      </c>
      <c r="E18" s="83" t="n">
        <v>100000</v>
      </c>
      <c r="F18" s="83" t="n">
        <v>100000</v>
      </c>
      <c r="G18" s="83" t="n">
        <v>100000</v>
      </c>
      <c r="H18" s="83" t="n">
        <v>264000</v>
      </c>
      <c r="I18" s="83" t="n">
        <v>198000</v>
      </c>
      <c r="J18" s="83" t="n">
        <v>264000</v>
      </c>
      <c r="K18" s="83" t="n">
        <v>264000</v>
      </c>
      <c r="L18" s="83" t="n">
        <v>198000</v>
      </c>
      <c r="M18" s="83" t="n">
        <v>132000</v>
      </c>
      <c r="N18" s="103">
        <f>SUM(B18:M18)</f>
        <v/>
      </c>
    </row>
    <row r="19" ht="15" customHeight="1" s="49">
      <c r="A19" s="85" t="inlineStr">
        <is>
          <t>TOTAL</t>
        </is>
      </c>
      <c r="B19" s="86">
        <f>SUM(B4:B18)</f>
        <v/>
      </c>
      <c r="C19" s="86">
        <f>SUM(C4:C18)</f>
        <v/>
      </c>
      <c r="D19" s="86">
        <f>SUM(D4:D18)</f>
        <v/>
      </c>
      <c r="E19" s="86">
        <f>SUM(E4:E18)</f>
        <v/>
      </c>
      <c r="F19" s="86">
        <f>SUM(F4:F18)</f>
        <v/>
      </c>
      <c r="G19" s="86">
        <f>SUM(G4:G18)</f>
        <v/>
      </c>
      <c r="H19" s="86">
        <f>SUM(H4:H18)</f>
        <v/>
      </c>
      <c r="I19" s="86">
        <f>SUM(I4:I18)</f>
        <v/>
      </c>
      <c r="J19" s="86">
        <f>SUM(J4:J18)</f>
        <v/>
      </c>
      <c r="K19" s="86">
        <f>SUM(K4:K18)</f>
        <v/>
      </c>
      <c r="L19" s="86">
        <f>SUM(L4:L18)</f>
        <v/>
      </c>
      <c r="M19" s="86">
        <f>SUM(M4:M18)</f>
        <v/>
      </c>
      <c r="N19" s="86">
        <f>SUM(B19:M19)</f>
        <v/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2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8" min="1" max="1"/>
    <col width="28" customWidth="1" style="48" min="2" max="2"/>
    <col width="20" customWidth="1" style="48" min="3" max="3"/>
    <col width="38" customWidth="1" style="48" min="4" max="4"/>
    <col width="30" customWidth="1" style="48" min="5" max="5"/>
    <col width="11" customWidth="1" style="48" min="6" max="6"/>
    <col width="14" customWidth="1" style="48" min="7" max="7"/>
    <col width="11" customWidth="1" style="48" min="8" max="8"/>
    <col width="14" customWidth="1" style="48" min="9" max="10"/>
    <col width="8" customWidth="1" style="48" min="11" max="11"/>
    <col width="10" customWidth="1" style="48" min="12" max="12"/>
    <col width="12" customWidth="1" style="48" min="13" max="13"/>
  </cols>
  <sheetData>
    <row r="1" ht="27.75" customHeight="1" s="49">
      <c r="A1" s="81" t="inlineStr">
        <is>
          <t>HUNTER</t>
        </is>
      </c>
      <c r="B1" s="81" t="inlineStr">
        <is>
          <t>PRAÇA</t>
        </is>
      </c>
      <c r="C1" s="81" t="inlineStr">
        <is>
          <t>PARCEIRO</t>
        </is>
      </c>
      <c r="D1" s="81" t="inlineStr">
        <is>
          <t>EMPRESA</t>
        </is>
      </c>
      <c r="E1" s="81" t="inlineStr">
        <is>
          <t>PRODUTO</t>
        </is>
      </c>
      <c r="F1" s="81" t="inlineStr">
        <is>
          <t>CONTRATO</t>
        </is>
      </c>
      <c r="G1" s="81" t="inlineStr">
        <is>
          <t>CRÉDITO</t>
        </is>
      </c>
      <c r="H1" s="81" t="inlineStr">
        <is>
          <t>HONORÁRIOS</t>
        </is>
      </c>
      <c r="I1" s="81" t="inlineStr">
        <is>
          <t>FATURAMENTO</t>
        </is>
      </c>
      <c r="J1" s="81" t="inlineStr">
        <is>
          <t>STATUS</t>
        </is>
      </c>
      <c r="K1" s="81" t="inlineStr">
        <is>
          <t>MÊS</t>
        </is>
      </c>
      <c r="L1" s="81" t="inlineStr">
        <is>
          <t>MÊS ASSINADO</t>
        </is>
      </c>
      <c r="M1" s="81" t="inlineStr">
        <is>
          <t>TEMPERATURA</t>
        </is>
      </c>
      <c r="N1" s="104" t="inlineStr">
        <is>
          <t>ORIGEM</t>
        </is>
      </c>
    </row>
    <row r="2" ht="15" customHeight="1" s="49">
      <c r="A2" s="105" t="inlineStr">
        <is>
          <t>BRUNA</t>
        </is>
      </c>
      <c r="B2" s="105" t="inlineStr">
        <is>
          <t>São Paulo e Santos</t>
        </is>
      </c>
      <c r="C2" s="106" t="n"/>
      <c r="D2" s="105" t="inlineStr">
        <is>
          <t>SUPER DOCES MARINGA</t>
        </is>
      </c>
      <c r="E2" s="105" t="inlineStr">
        <is>
          <t>EXCL ICMS ST</t>
        </is>
      </c>
      <c r="F2" s="105" t="inlineStr">
        <is>
          <t>NOVO</t>
        </is>
      </c>
      <c r="G2" s="83" t="n">
        <v>4214417</v>
      </c>
      <c r="H2" s="107" t="n">
        <v>0.2</v>
      </c>
      <c r="I2" s="83" t="n">
        <v>842883.4</v>
      </c>
      <c r="J2" s="105" t="inlineStr">
        <is>
          <t>ASSINADO</t>
        </is>
      </c>
      <c r="K2" s="105" t="inlineStr">
        <is>
          <t>DEZ</t>
        </is>
      </c>
      <c r="L2" s="105" t="inlineStr">
        <is>
          <t>JAN</t>
        </is>
      </c>
      <c r="M2" s="105" t="inlineStr">
        <is>
          <t>QUENTE</t>
        </is>
      </c>
    </row>
    <row r="3" ht="15" customHeight="1" s="49">
      <c r="A3" s="105" t="inlineStr">
        <is>
          <t>BRUNA</t>
        </is>
      </c>
      <c r="B3" s="105" t="inlineStr">
        <is>
          <t>São Paulo e Santos</t>
        </is>
      </c>
      <c r="C3" s="106" t="n"/>
      <c r="D3" s="105" t="inlineStr">
        <is>
          <t>SUPER DOCES MARINGA</t>
        </is>
      </c>
      <c r="E3" s="105" t="inlineStr">
        <is>
          <t>PIS/COFINS INSUMOS</t>
        </is>
      </c>
      <c r="F3" s="105" t="inlineStr">
        <is>
          <t>NOVO</t>
        </is>
      </c>
      <c r="G3" s="83" t="n">
        <v>77600</v>
      </c>
      <c r="H3" s="107" t="n">
        <v>0.2</v>
      </c>
      <c r="I3" s="83" t="n">
        <v>15520</v>
      </c>
      <c r="J3" s="105" t="inlineStr">
        <is>
          <t>ASSINADO</t>
        </is>
      </c>
      <c r="K3" s="105" t="inlineStr">
        <is>
          <t>DEZ</t>
        </is>
      </c>
      <c r="L3" s="105" t="inlineStr">
        <is>
          <t>JAN</t>
        </is>
      </c>
      <c r="M3" s="105" t="inlineStr">
        <is>
          <t>QUENTE</t>
        </is>
      </c>
    </row>
    <row r="4" ht="15" customHeight="1" s="49">
      <c r="A4" s="105" t="inlineStr">
        <is>
          <t>BRUNA</t>
        </is>
      </c>
      <c r="B4" s="105" t="inlineStr">
        <is>
          <t>São Paulo e Santos</t>
        </is>
      </c>
      <c r="C4" s="106" t="n"/>
      <c r="D4" s="105" t="inlineStr">
        <is>
          <t>SUPER DOCES MARINGA</t>
        </is>
      </c>
      <c r="E4" s="105" t="inlineStr">
        <is>
          <t>JCP</t>
        </is>
      </c>
      <c r="F4" s="105" t="inlineStr">
        <is>
          <t>NOVO</t>
        </is>
      </c>
      <c r="G4" s="83" t="n">
        <v>360065</v>
      </c>
      <c r="H4" s="107" t="n">
        <v>0.2</v>
      </c>
      <c r="I4" s="83" t="n">
        <v>72013</v>
      </c>
      <c r="J4" s="105" t="inlineStr">
        <is>
          <t>ASSINADO</t>
        </is>
      </c>
      <c r="K4" s="105" t="inlineStr">
        <is>
          <t>DEZ</t>
        </is>
      </c>
      <c r="L4" s="105" t="inlineStr">
        <is>
          <t>JAN</t>
        </is>
      </c>
      <c r="M4" s="105" t="inlineStr">
        <is>
          <t>QUENTE</t>
        </is>
      </c>
    </row>
    <row r="5" ht="15" customHeight="1" s="49">
      <c r="A5" s="105" t="inlineStr">
        <is>
          <t>BRUNA</t>
        </is>
      </c>
      <c r="B5" s="105" t="inlineStr">
        <is>
          <t>São Paulo e Santos</t>
        </is>
      </c>
      <c r="C5" s="106" t="n"/>
      <c r="D5" s="105" t="inlineStr">
        <is>
          <t>SUPER DOCES MARINGA</t>
        </is>
      </c>
      <c r="E5" s="105" t="inlineStr">
        <is>
          <t>SUBVENÇÃO</t>
        </is>
      </c>
      <c r="F5" s="105" t="inlineStr">
        <is>
          <t>NOVO</t>
        </is>
      </c>
      <c r="G5" s="83" t="n">
        <v>325440</v>
      </c>
      <c r="H5" s="107" t="n">
        <v>0.2</v>
      </c>
      <c r="I5" s="83" t="n">
        <v>65088</v>
      </c>
      <c r="J5" s="105" t="inlineStr">
        <is>
          <t>ASSINADO</t>
        </is>
      </c>
      <c r="K5" s="105" t="inlineStr">
        <is>
          <t>DEZ</t>
        </is>
      </c>
      <c r="L5" s="105" t="inlineStr">
        <is>
          <t>JAN</t>
        </is>
      </c>
      <c r="M5" s="105" t="inlineStr">
        <is>
          <t>QUENTE</t>
        </is>
      </c>
    </row>
    <row r="6" ht="15" customHeight="1" s="49">
      <c r="A6" s="105" t="inlineStr">
        <is>
          <t>BRUNA</t>
        </is>
      </c>
      <c r="B6" s="105" t="inlineStr">
        <is>
          <t>São Paulo e Santos</t>
        </is>
      </c>
      <c r="C6" s="106" t="n"/>
      <c r="D6" s="105" t="inlineStr">
        <is>
          <t>SUPERMERCADOS M FARIA E R GRAVINA LTDA</t>
        </is>
      </c>
      <c r="E6" s="105" t="inlineStr">
        <is>
          <t>EXCL ICMS ST BASE COFINS</t>
        </is>
      </c>
      <c r="F6" s="105" t="inlineStr">
        <is>
          <t>NOVO</t>
        </is>
      </c>
      <c r="G6" s="83" t="n">
        <v>32136.96</v>
      </c>
      <c r="H6" s="107" t="n">
        <v>0.18</v>
      </c>
      <c r="I6" s="83" t="n">
        <v>23008.6</v>
      </c>
      <c r="J6" s="105" t="inlineStr">
        <is>
          <t>ASSINADO</t>
        </is>
      </c>
      <c r="K6" s="105" t="inlineStr">
        <is>
          <t>DEZ</t>
        </is>
      </c>
      <c r="L6" s="105" t="inlineStr">
        <is>
          <t>JAN</t>
        </is>
      </c>
      <c r="M6" s="105" t="inlineStr">
        <is>
          <t>QUENTE</t>
        </is>
      </c>
    </row>
    <row r="7" ht="15" customHeight="1" s="49">
      <c r="A7" s="105" t="inlineStr">
        <is>
          <t>BRUNA</t>
        </is>
      </c>
      <c r="B7" s="105" t="inlineStr">
        <is>
          <t>São Paulo e Santos</t>
        </is>
      </c>
      <c r="C7" s="106" t="n"/>
      <c r="D7" s="105" t="inlineStr">
        <is>
          <t>SUPERMERCADOS M FARIA E R GRAVINA LTDA</t>
        </is>
      </c>
      <c r="E7" s="105" t="inlineStr">
        <is>
          <t xml:space="preserve">PREVIDENCIARIO </t>
        </is>
      </c>
      <c r="F7" s="105" t="inlineStr">
        <is>
          <t>NOVO</t>
        </is>
      </c>
      <c r="G7" s="83" t="n">
        <v>256000</v>
      </c>
      <c r="H7" s="107" t="n">
        <v>0.18</v>
      </c>
      <c r="I7" s="83" t="n">
        <v>46080</v>
      </c>
      <c r="J7" s="105" t="inlineStr">
        <is>
          <t>ASSINADO</t>
        </is>
      </c>
      <c r="K7" s="105" t="inlineStr">
        <is>
          <t>DEZ</t>
        </is>
      </c>
      <c r="L7" s="105" t="inlineStr">
        <is>
          <t>JAN</t>
        </is>
      </c>
      <c r="M7" s="105" t="inlineStr">
        <is>
          <t>QUENTE</t>
        </is>
      </c>
    </row>
    <row r="8" ht="15" customHeight="1" s="49">
      <c r="A8" s="105" t="inlineStr">
        <is>
          <t>BRUNA</t>
        </is>
      </c>
      <c r="B8" s="105" t="inlineStr">
        <is>
          <t>São Paulo e Santos</t>
        </is>
      </c>
      <c r="C8" s="106" t="n"/>
      <c r="D8" s="105" t="inlineStr">
        <is>
          <t>SUPERMERCADO REPRESA</t>
        </is>
      </c>
      <c r="E8" s="105" t="inlineStr">
        <is>
          <t>IRPJ CSLL</t>
        </is>
      </c>
      <c r="F8" s="105" t="inlineStr">
        <is>
          <t>NOVO</t>
        </is>
      </c>
      <c r="G8" s="83" t="n">
        <v>71286</v>
      </c>
      <c r="H8" s="107" t="n">
        <v>0.25</v>
      </c>
      <c r="I8" s="83" t="n">
        <v>17821.5</v>
      </c>
      <c r="J8" s="105" t="inlineStr">
        <is>
          <t>ASSINADO</t>
        </is>
      </c>
      <c r="K8" s="105" t="inlineStr">
        <is>
          <t>DEZ</t>
        </is>
      </c>
      <c r="L8" s="105" t="inlineStr">
        <is>
          <t>MAR</t>
        </is>
      </c>
      <c r="M8" s="105" t="inlineStr">
        <is>
          <t>QUENTE</t>
        </is>
      </c>
    </row>
    <row r="9" ht="15" customHeight="1" s="49">
      <c r="A9" s="105" t="inlineStr">
        <is>
          <t>BRUNA</t>
        </is>
      </c>
      <c r="B9" s="105" t="inlineStr">
        <is>
          <t>São Paulo e Santos</t>
        </is>
      </c>
      <c r="C9" s="106" t="n"/>
      <c r="D9" s="105" t="inlineStr">
        <is>
          <t>SUPERMERCADO REPRESA</t>
        </is>
      </c>
      <c r="E9" s="105" t="inlineStr">
        <is>
          <t>PIS E COFINS</t>
        </is>
      </c>
      <c r="F9" s="105" t="inlineStr">
        <is>
          <t>NOVO</t>
        </is>
      </c>
      <c r="G9" s="83" t="n">
        <v>128163</v>
      </c>
      <c r="H9" s="107" t="n">
        <v>0.25</v>
      </c>
      <c r="I9" s="83" t="n">
        <v>32040.75</v>
      </c>
      <c r="J9" s="105" t="inlineStr">
        <is>
          <t>ASSINADO</t>
        </is>
      </c>
      <c r="K9" s="105" t="inlineStr">
        <is>
          <t>DEZ</t>
        </is>
      </c>
      <c r="L9" s="105" t="inlineStr">
        <is>
          <t>MAR</t>
        </is>
      </c>
      <c r="M9" s="105" t="inlineStr">
        <is>
          <t>QUENTE</t>
        </is>
      </c>
    </row>
    <row r="10" ht="15" customHeight="1" s="49">
      <c r="A10" s="105" t="inlineStr">
        <is>
          <t>BRUNA</t>
        </is>
      </c>
      <c r="B10" s="105" t="inlineStr">
        <is>
          <t>São Paulo e Santos</t>
        </is>
      </c>
      <c r="C10" s="106" t="n"/>
      <c r="D10" s="105" t="inlineStr">
        <is>
          <t>SUPERMERCADO REPRESA</t>
        </is>
      </c>
      <c r="E10" s="105" t="inlineStr">
        <is>
          <t>EXCLUSAO ICMS ST da base PIS E COFINS</t>
        </is>
      </c>
      <c r="F10" s="105" t="inlineStr">
        <is>
          <t>NOVO</t>
        </is>
      </c>
      <c r="G10" s="83" t="n">
        <v>282840</v>
      </c>
      <c r="H10" s="107" t="n">
        <v>0.25</v>
      </c>
      <c r="I10" s="83" t="n">
        <v>70710</v>
      </c>
      <c r="J10" s="105" t="inlineStr">
        <is>
          <t>ASSINADO</t>
        </is>
      </c>
      <c r="K10" s="105" t="inlineStr">
        <is>
          <t>DEZ</t>
        </is>
      </c>
      <c r="L10" s="105" t="inlineStr">
        <is>
          <t>MAR</t>
        </is>
      </c>
      <c r="M10" s="105" t="inlineStr">
        <is>
          <t>QUENTE</t>
        </is>
      </c>
    </row>
    <row r="11" ht="15" customHeight="1" s="49">
      <c r="A11" s="105" t="inlineStr">
        <is>
          <t>BRUNA</t>
        </is>
      </c>
      <c r="B11" s="105" t="inlineStr">
        <is>
          <t>São Paulo e Santos</t>
        </is>
      </c>
      <c r="C11" s="106" t="n"/>
      <c r="D11" s="105" t="inlineStr">
        <is>
          <t>SUPERMERCADO BATISTINI LTDA</t>
        </is>
      </c>
      <c r="E11" s="105" t="inlineStr">
        <is>
          <t>IRPJ E CSLL</t>
        </is>
      </c>
      <c r="F11" s="105" t="inlineStr">
        <is>
          <t>NOVO</t>
        </is>
      </c>
      <c r="G11" s="83" t="n">
        <v>142002</v>
      </c>
      <c r="H11" s="107" t="n">
        <v>0.25</v>
      </c>
      <c r="I11" s="83" t="n">
        <v>35500.5</v>
      </c>
      <c r="J11" s="105" t="inlineStr">
        <is>
          <t>ASSINADO</t>
        </is>
      </c>
      <c r="K11" s="105" t="inlineStr">
        <is>
          <t>DEZ</t>
        </is>
      </c>
      <c r="L11" s="105" t="inlineStr">
        <is>
          <t>MAR</t>
        </is>
      </c>
      <c r="M11" s="105" t="inlineStr">
        <is>
          <t>QUENTE</t>
        </is>
      </c>
    </row>
    <row r="12" ht="15" customHeight="1" s="49">
      <c r="A12" s="105" t="inlineStr">
        <is>
          <t>BRUNA</t>
        </is>
      </c>
      <c r="B12" s="105" t="inlineStr">
        <is>
          <t>São Paulo e Santos</t>
        </is>
      </c>
      <c r="C12" s="106" t="n"/>
      <c r="D12" s="105" t="inlineStr">
        <is>
          <t>SUPERMERCADO BATISTINI LTDA</t>
        </is>
      </c>
      <c r="E12" s="105" t="n"/>
      <c r="F12" s="105" t="inlineStr">
        <is>
          <t>NOVO</t>
        </is>
      </c>
      <c r="G12" s="83" t="n">
        <v>1545.63</v>
      </c>
      <c r="H12" s="107" t="n">
        <v>0.25</v>
      </c>
      <c r="I12" s="83" t="n">
        <v>386.41</v>
      </c>
      <c r="J12" s="105" t="inlineStr">
        <is>
          <t>ASSINADO</t>
        </is>
      </c>
      <c r="K12" s="105" t="inlineStr">
        <is>
          <t>DEZ</t>
        </is>
      </c>
      <c r="L12" s="105" t="inlineStr">
        <is>
          <t>MAR</t>
        </is>
      </c>
      <c r="M12" s="105" t="inlineStr">
        <is>
          <t>QUENTE</t>
        </is>
      </c>
    </row>
    <row r="13" ht="15" customHeight="1" s="49">
      <c r="A13" s="105" t="inlineStr">
        <is>
          <t>BRUNA</t>
        </is>
      </c>
      <c r="B13" s="105" t="inlineStr">
        <is>
          <t>São Paulo e Santos</t>
        </is>
      </c>
      <c r="C13" s="106" t="n"/>
      <c r="D13" s="105" t="inlineStr">
        <is>
          <t>SUPERMERCADO JARDIM ORQUIDEA LTDA</t>
        </is>
      </c>
      <c r="E13" s="105" t="inlineStr">
        <is>
          <t>IRPJ E CSLL</t>
        </is>
      </c>
      <c r="F13" s="105" t="inlineStr">
        <is>
          <t>NOVO</t>
        </is>
      </c>
      <c r="G13" s="83" t="n">
        <v>67977</v>
      </c>
      <c r="H13" s="107" t="n">
        <v>0.25</v>
      </c>
      <c r="I13" s="83" t="n">
        <v>16994.25</v>
      </c>
      <c r="J13" s="105" t="inlineStr">
        <is>
          <t>ASSINADO</t>
        </is>
      </c>
      <c r="K13" s="105" t="inlineStr">
        <is>
          <t>DEZ</t>
        </is>
      </c>
      <c r="L13" s="105" t="inlineStr">
        <is>
          <t>MAR</t>
        </is>
      </c>
      <c r="M13" s="105" t="inlineStr">
        <is>
          <t>QUENTE</t>
        </is>
      </c>
    </row>
    <row r="14" ht="15" customHeight="1" s="49">
      <c r="A14" s="105" t="inlineStr">
        <is>
          <t>BRUNA</t>
        </is>
      </c>
      <c r="B14" s="105" t="inlineStr">
        <is>
          <t>São Paulo e Santos</t>
        </is>
      </c>
      <c r="C14" s="106" t="n"/>
      <c r="D14" s="105" t="inlineStr">
        <is>
          <t>SUPERMERCADO JARDIM ORQUIDEA LTDA</t>
        </is>
      </c>
      <c r="E14" s="105" t="inlineStr">
        <is>
          <t>PIS E COFINS</t>
        </is>
      </c>
      <c r="F14" s="105" t="inlineStr">
        <is>
          <t>NOVO</t>
        </is>
      </c>
      <c r="G14" s="83" t="n">
        <v>258965</v>
      </c>
      <c r="H14" s="107" t="n">
        <v>0.25</v>
      </c>
      <c r="I14" s="83" t="n">
        <v>64741.25</v>
      </c>
      <c r="J14" s="105" t="inlineStr">
        <is>
          <t>ASSINADO</t>
        </is>
      </c>
      <c r="K14" s="105" t="inlineStr">
        <is>
          <t>DEZ</t>
        </is>
      </c>
      <c r="L14" s="105" t="inlineStr">
        <is>
          <t>MAR</t>
        </is>
      </c>
      <c r="M14" s="105" t="inlineStr">
        <is>
          <t>QUENTE</t>
        </is>
      </c>
    </row>
    <row r="15" ht="15" customHeight="1" s="49">
      <c r="A15" s="105" t="inlineStr">
        <is>
          <t>BRUNA</t>
        </is>
      </c>
      <c r="B15" s="105" t="inlineStr">
        <is>
          <t>São Paulo e Santos</t>
        </is>
      </c>
      <c r="C15" s="106" t="n"/>
      <c r="D15" s="105" t="inlineStr">
        <is>
          <t>SUPERMERCADO BANDEIRA LTDA</t>
        </is>
      </c>
      <c r="E15" s="105" t="inlineStr">
        <is>
          <t>PIS E COFINS</t>
        </is>
      </c>
      <c r="F15" s="105" t="inlineStr">
        <is>
          <t>NOVO</t>
        </is>
      </c>
      <c r="G15" s="83" t="n">
        <v>268726</v>
      </c>
      <c r="H15" s="107" t="n">
        <v>0.25</v>
      </c>
      <c r="I15" s="83" t="n">
        <v>67181.5</v>
      </c>
      <c r="J15" s="105" t="inlineStr">
        <is>
          <t>ASSINADO</t>
        </is>
      </c>
      <c r="K15" s="105" t="inlineStr">
        <is>
          <t>JAN</t>
        </is>
      </c>
      <c r="L15" s="105" t="inlineStr">
        <is>
          <t>ABR</t>
        </is>
      </c>
      <c r="M15" s="105" t="inlineStr">
        <is>
          <t>MORNO</t>
        </is>
      </c>
    </row>
    <row r="16" ht="15" customHeight="1" s="49">
      <c r="A16" s="105" t="inlineStr">
        <is>
          <t>BRUNA</t>
        </is>
      </c>
      <c r="B16" s="105" t="inlineStr">
        <is>
          <t>São Paulo e Santos</t>
        </is>
      </c>
      <c r="C16" s="106" t="n"/>
      <c r="D16" s="105" t="inlineStr">
        <is>
          <t>SUPERMERCADO BANDEIRA LTDA</t>
        </is>
      </c>
      <c r="E16" s="105" t="inlineStr">
        <is>
          <t>SUBVENÇAO IRPJ CSLL</t>
        </is>
      </c>
      <c r="F16" s="105" t="inlineStr">
        <is>
          <t>NOVO</t>
        </is>
      </c>
      <c r="G16" s="83" t="n">
        <v>1453215</v>
      </c>
      <c r="H16" s="107" t="n">
        <v>0.25</v>
      </c>
      <c r="I16" s="83" t="n">
        <v>363303.75</v>
      </c>
      <c r="J16" s="105" t="inlineStr">
        <is>
          <t>ASSINADO</t>
        </is>
      </c>
      <c r="K16" s="105" t="inlineStr">
        <is>
          <t>JAN</t>
        </is>
      </c>
      <c r="L16" s="105" t="inlineStr">
        <is>
          <t>ABR</t>
        </is>
      </c>
      <c r="M16" s="105" t="inlineStr">
        <is>
          <t>MORNO</t>
        </is>
      </c>
    </row>
    <row r="17" ht="15" customHeight="1" s="49">
      <c r="A17" s="105" t="inlineStr">
        <is>
          <t>BRUNA</t>
        </is>
      </c>
      <c r="B17" s="105" t="inlineStr">
        <is>
          <t>São Paulo e Santos</t>
        </is>
      </c>
      <c r="C17" s="106" t="n"/>
      <c r="D17" s="105" t="inlineStr">
        <is>
          <t>SUPERMERCADO BANDEIRA LTDA</t>
        </is>
      </c>
      <c r="E17" s="105" t="inlineStr">
        <is>
          <t>JCP</t>
        </is>
      </c>
      <c r="F17" s="105" t="inlineStr">
        <is>
          <t>NOVO</t>
        </is>
      </c>
      <c r="G17" s="83" t="n">
        <v>164443</v>
      </c>
      <c r="H17" s="107" t="n">
        <v>0.25</v>
      </c>
      <c r="I17" s="83" t="n">
        <v>41110.75</v>
      </c>
      <c r="J17" s="105" t="inlineStr">
        <is>
          <t>ASSINADO</t>
        </is>
      </c>
      <c r="K17" s="105" t="inlineStr">
        <is>
          <t>JAN</t>
        </is>
      </c>
      <c r="L17" s="105" t="inlineStr">
        <is>
          <t>ABR</t>
        </is>
      </c>
      <c r="M17" s="105" t="inlineStr">
        <is>
          <t>MORNO</t>
        </is>
      </c>
    </row>
    <row r="18" ht="15" customHeight="1" s="49">
      <c r="A18" s="105" t="inlineStr">
        <is>
          <t>BRUNA</t>
        </is>
      </c>
      <c r="B18" s="105" t="inlineStr">
        <is>
          <t>São Paulo e Santos</t>
        </is>
      </c>
      <c r="C18" s="106" t="n"/>
      <c r="D18" s="105" t="inlineStr">
        <is>
          <t>SUPERMERCADO DOS CASA LTDA</t>
        </is>
      </c>
      <c r="E18" s="105" t="inlineStr">
        <is>
          <t>IRPJ CSLL</t>
        </is>
      </c>
      <c r="F18" s="105" t="inlineStr">
        <is>
          <t>NOVO</t>
        </is>
      </c>
      <c r="G18" s="83" t="n">
        <v>98265</v>
      </c>
      <c r="H18" s="107" t="n">
        <v>0.25</v>
      </c>
      <c r="I18" s="83" t="n">
        <v>24566.25</v>
      </c>
      <c r="J18" s="105" t="inlineStr">
        <is>
          <t>ASSINADO</t>
        </is>
      </c>
      <c r="K18" s="105" t="inlineStr">
        <is>
          <t>JAN</t>
        </is>
      </c>
      <c r="L18" s="105" t="inlineStr">
        <is>
          <t>MAR</t>
        </is>
      </c>
      <c r="M18" s="105" t="inlineStr">
        <is>
          <t>QUENTE</t>
        </is>
      </c>
    </row>
    <row r="19" ht="15" customHeight="1" s="49">
      <c r="A19" s="105" t="inlineStr">
        <is>
          <t>BRUNA</t>
        </is>
      </c>
      <c r="B19" s="105" t="inlineStr">
        <is>
          <t>São Paulo e Santos</t>
        </is>
      </c>
      <c r="C19" s="106" t="n"/>
      <c r="D19" s="105" t="inlineStr">
        <is>
          <t>SUPERMERCADOS M FARIA E GRAVINA LTDA</t>
        </is>
      </c>
      <c r="E19" s="105" t="inlineStr">
        <is>
          <t>EXCLUSAO DE DESCONTOS DA BASE DO INSS</t>
        </is>
      </c>
      <c r="F19" s="105" t="inlineStr">
        <is>
          <t>UPSELL</t>
        </is>
      </c>
      <c r="G19" s="83" t="n">
        <v>327622.89</v>
      </c>
      <c r="H19" s="107" t="n">
        <v>0.18</v>
      </c>
      <c r="I19" s="83" t="n">
        <v>58972.12</v>
      </c>
      <c r="J19" s="105" t="inlineStr">
        <is>
          <t>ASSINADO</t>
        </is>
      </c>
      <c r="K19" s="105" t="inlineStr">
        <is>
          <t>FEV</t>
        </is>
      </c>
      <c r="L19" s="105" t="inlineStr">
        <is>
          <t>FEV</t>
        </is>
      </c>
      <c r="M19" s="105" t="inlineStr">
        <is>
          <t>QUENTE</t>
        </is>
      </c>
    </row>
    <row r="20" ht="15" customHeight="1" s="49">
      <c r="A20" s="105" t="inlineStr">
        <is>
          <t>BRUNA</t>
        </is>
      </c>
      <c r="B20" s="105" t="inlineStr">
        <is>
          <t>São Paulo e Santos</t>
        </is>
      </c>
      <c r="C20" s="106" t="n"/>
      <c r="D20" s="105" t="inlineStr">
        <is>
          <t>SUPERMERCADOS M FARIA E GRAVINA LTDA</t>
        </is>
      </c>
      <c r="E20" s="105" t="inlineStr">
        <is>
          <t xml:space="preserve">PREVIDENCIARIO </t>
        </is>
      </c>
      <c r="F20" s="105" t="inlineStr">
        <is>
          <t>UPSELL</t>
        </is>
      </c>
      <c r="G20" s="83" t="n">
        <v>181392.16</v>
      </c>
      <c r="H20" s="107" t="n">
        <v>0.18</v>
      </c>
      <c r="I20" s="83" t="n">
        <v>32650.59</v>
      </c>
      <c r="J20" s="105" t="inlineStr">
        <is>
          <t>ASSINADO</t>
        </is>
      </c>
      <c r="K20" s="105" t="inlineStr">
        <is>
          <t>FEV</t>
        </is>
      </c>
      <c r="L20" s="105" t="inlineStr">
        <is>
          <t>FEV</t>
        </is>
      </c>
      <c r="M20" s="105" t="inlineStr">
        <is>
          <t>QUENTE</t>
        </is>
      </c>
    </row>
    <row r="21" ht="15" customHeight="1" s="49">
      <c r="A21" s="105" t="inlineStr">
        <is>
          <t>BRUNA</t>
        </is>
      </c>
      <c r="B21" s="105" t="inlineStr">
        <is>
          <t>São Paulo e Santos</t>
        </is>
      </c>
      <c r="C21" s="106" t="n"/>
      <c r="D21" s="105" t="inlineStr">
        <is>
          <t>SUPERMERCADO DOS CASA LTDA</t>
        </is>
      </c>
      <c r="E21" s="105" t="inlineStr">
        <is>
          <t>PIS e COFINS</t>
        </is>
      </c>
      <c r="F21" s="105" t="inlineStr">
        <is>
          <t>NOVO</t>
        </is>
      </c>
      <c r="G21" s="83" t="n">
        <v>365658</v>
      </c>
      <c r="H21" s="107" t="n">
        <v>0.25</v>
      </c>
      <c r="I21" s="83" t="n">
        <v>91414.5</v>
      </c>
      <c r="J21" s="105" t="inlineStr">
        <is>
          <t>ASSINADO</t>
        </is>
      </c>
      <c r="K21" s="105" t="inlineStr">
        <is>
          <t>JAN</t>
        </is>
      </c>
      <c r="L21" s="105" t="inlineStr">
        <is>
          <t>MAR</t>
        </is>
      </c>
      <c r="M21" s="105" t="inlineStr">
        <is>
          <t>QUENTE</t>
        </is>
      </c>
    </row>
    <row r="22" ht="15" customHeight="1" s="49">
      <c r="A22" s="105" t="inlineStr">
        <is>
          <t>CINTHIA</t>
        </is>
      </c>
      <c r="B22" s="105" t="inlineStr">
        <is>
          <t>Fortaleza</t>
        </is>
      </c>
      <c r="C22" s="106" t="n"/>
      <c r="D22" s="105" t="inlineStr">
        <is>
          <t>SUPERMERCADO PRECO IDEAL LTDA</t>
        </is>
      </c>
      <c r="E22" s="105" t="inlineStr">
        <is>
          <t>PIS E COFINS INSUMOS</t>
        </is>
      </c>
      <c r="F22" s="105" t="inlineStr">
        <is>
          <t>NOVO</t>
        </is>
      </c>
      <c r="G22" s="83" t="n">
        <v>830105</v>
      </c>
      <c r="H22" s="107" t="n">
        <v>0.3</v>
      </c>
      <c r="I22" s="83" t="n">
        <v>249031.5</v>
      </c>
      <c r="J22" s="105" t="inlineStr">
        <is>
          <t>STANDBY</t>
        </is>
      </c>
      <c r="K22" s="105" t="inlineStr">
        <is>
          <t>FEV</t>
        </is>
      </c>
      <c r="L22" s="105" t="n"/>
      <c r="M22" s="105" t="inlineStr">
        <is>
          <t>QUENTE</t>
        </is>
      </c>
    </row>
    <row r="23" ht="15" customHeight="1" s="49">
      <c r="A23" s="105" t="inlineStr">
        <is>
          <t>CINTHIA</t>
        </is>
      </c>
      <c r="B23" s="105" t="inlineStr">
        <is>
          <t>Fortaleza</t>
        </is>
      </c>
      <c r="C23" s="106" t="n"/>
      <c r="D23" s="105" t="inlineStr">
        <is>
          <t>SUPER PORTUGAL COMERCIO VAREJISTA LTDA</t>
        </is>
      </c>
      <c r="E23" s="105" t="inlineStr">
        <is>
          <t>EXCLUSAO ICMS ST DA BASE PIS COFINS</t>
        </is>
      </c>
      <c r="F23" s="105" t="inlineStr">
        <is>
          <t>NOVO</t>
        </is>
      </c>
      <c r="G23" s="83" t="n">
        <v>1818934</v>
      </c>
      <c r="H23" s="107" t="n">
        <v>0.2</v>
      </c>
      <c r="I23" s="83" t="n">
        <v>363786.8</v>
      </c>
      <c r="J23" s="105" t="inlineStr">
        <is>
          <t>BASE</t>
        </is>
      </c>
      <c r="K23" s="105" t="inlineStr">
        <is>
          <t>ABR</t>
        </is>
      </c>
      <c r="L23" s="105" t="n"/>
      <c r="M23" s="105" t="n"/>
    </row>
    <row r="24" ht="15" customHeight="1" s="49">
      <c r="A24" s="105" t="inlineStr">
        <is>
          <t>CINTHIA</t>
        </is>
      </c>
      <c r="B24" s="105" t="inlineStr">
        <is>
          <t>Fortaleza</t>
        </is>
      </c>
      <c r="C24" s="106" t="n"/>
      <c r="D24" s="105" t="inlineStr">
        <is>
          <t>SUPER PORTUGAL COMERCIO VAREJISTA LTDA</t>
        </is>
      </c>
      <c r="E24" s="105" t="inlineStr">
        <is>
          <t>PIS E COFINS insumos</t>
        </is>
      </c>
      <c r="F24" s="105" t="inlineStr">
        <is>
          <t>NOVO</t>
        </is>
      </c>
      <c r="G24" s="83" t="n">
        <v>333845</v>
      </c>
      <c r="H24" s="107" t="n">
        <v>0.2</v>
      </c>
      <c r="I24" s="83" t="n">
        <v>66769</v>
      </c>
      <c r="J24" s="105" t="inlineStr">
        <is>
          <t>BASE</t>
        </is>
      </c>
      <c r="K24" s="105" t="inlineStr">
        <is>
          <t>ABR</t>
        </is>
      </c>
      <c r="L24" s="105" t="n"/>
      <c r="M24" s="105" t="n"/>
    </row>
    <row r="25" ht="15" customHeight="1" s="49">
      <c r="A25" s="105" t="inlineStr">
        <is>
          <t>CINTHIA</t>
        </is>
      </c>
      <c r="B25" s="105" t="inlineStr">
        <is>
          <t>Fortaleza</t>
        </is>
      </c>
      <c r="C25" s="106" t="n"/>
      <c r="D25" s="105" t="inlineStr">
        <is>
          <t>SUPERMERCADO LISBOA LTDA</t>
        </is>
      </c>
      <c r="E25" s="105" t="inlineStr">
        <is>
          <t>IRPJ E CSLL</t>
        </is>
      </c>
      <c r="F25" s="105" t="inlineStr">
        <is>
          <t>NOVO</t>
        </is>
      </c>
      <c r="G25" s="83" t="n">
        <v>643493</v>
      </c>
      <c r="H25" s="107" t="n">
        <v>0.15</v>
      </c>
      <c r="I25" s="83" t="n">
        <v>96523.95</v>
      </c>
      <c r="J25" s="105" t="inlineStr">
        <is>
          <t>ASSINADO</t>
        </is>
      </c>
      <c r="K25" s="105" t="inlineStr">
        <is>
          <t>MAR</t>
        </is>
      </c>
      <c r="L25" s="105" t="inlineStr">
        <is>
          <t>MAR</t>
        </is>
      </c>
      <c r="M25" s="105" t="inlineStr">
        <is>
          <t>QUENTE</t>
        </is>
      </c>
    </row>
    <row r="26" ht="15" customHeight="1" s="49">
      <c r="A26" s="105" t="inlineStr">
        <is>
          <t>CINTHIA</t>
        </is>
      </c>
      <c r="B26" s="105" t="inlineStr">
        <is>
          <t>Fortaleza</t>
        </is>
      </c>
      <c r="C26" s="106" t="n"/>
      <c r="D26" s="105" t="inlineStr">
        <is>
          <t>SUPERMERCADO LISBOA LTDA</t>
        </is>
      </c>
      <c r="E26" s="105" t="inlineStr">
        <is>
          <t>EXCLUSAO DA BASE ICMS ST DA BASE PIS E CONFINS</t>
        </is>
      </c>
      <c r="F26" s="105" t="inlineStr">
        <is>
          <t>NOVO</t>
        </is>
      </c>
      <c r="G26" s="83" t="n">
        <v>1990086</v>
      </c>
      <c r="H26" s="107" t="n">
        <v>0.15</v>
      </c>
      <c r="I26" s="83" t="n">
        <v>298512.9</v>
      </c>
      <c r="J26" s="105" t="inlineStr">
        <is>
          <t>ASSINADO</t>
        </is>
      </c>
      <c r="K26" s="105" t="inlineStr">
        <is>
          <t>MAR</t>
        </is>
      </c>
      <c r="L26" s="105" t="inlineStr">
        <is>
          <t>MAR</t>
        </is>
      </c>
      <c r="M26" s="105" t="inlineStr">
        <is>
          <t>QUENTE</t>
        </is>
      </c>
    </row>
    <row r="27" ht="15" customHeight="1" s="49">
      <c r="A27" s="105" t="inlineStr">
        <is>
          <t>CINTHIA</t>
        </is>
      </c>
      <c r="B27" s="105" t="inlineStr">
        <is>
          <t>Fortaleza</t>
        </is>
      </c>
      <c r="C27" s="106" t="n"/>
      <c r="D27" s="105" t="inlineStr">
        <is>
          <t>SUPERMERCADO LISBOA LTDA</t>
        </is>
      </c>
      <c r="E27" s="105" t="inlineStr">
        <is>
          <t>PIS E COFINS INSUMOS</t>
        </is>
      </c>
      <c r="F27" s="105" t="inlineStr">
        <is>
          <t>NOVO</t>
        </is>
      </c>
      <c r="G27" s="83" t="n">
        <v>190062</v>
      </c>
      <c r="H27" s="107" t="n">
        <v>0.15</v>
      </c>
      <c r="I27" s="83" t="n">
        <v>28509.3</v>
      </c>
      <c r="J27" s="105" t="inlineStr">
        <is>
          <t>ASSINADO</t>
        </is>
      </c>
      <c r="K27" s="105" t="inlineStr">
        <is>
          <t>MAR</t>
        </is>
      </c>
      <c r="L27" s="105" t="inlineStr">
        <is>
          <t>MAR</t>
        </is>
      </c>
      <c r="M27" s="105" t="inlineStr">
        <is>
          <t>QUENTE</t>
        </is>
      </c>
    </row>
    <row r="28" ht="15" customHeight="1" s="49">
      <c r="A28" s="105" t="inlineStr">
        <is>
          <t>CINTHIA</t>
        </is>
      </c>
      <c r="B28" s="105" t="inlineStr">
        <is>
          <t>Fortaleza</t>
        </is>
      </c>
      <c r="C28" s="106" t="n"/>
      <c r="D28" s="105" t="inlineStr">
        <is>
          <t>SUPERMERCADO ANALI LTDA</t>
        </is>
      </c>
      <c r="E28" s="105" t="inlineStr">
        <is>
          <t>IRPJ E CSLL</t>
        </is>
      </c>
      <c r="F28" s="105" t="inlineStr">
        <is>
          <t>NOVO</t>
        </is>
      </c>
      <c r="G28" s="83" t="n">
        <v>530431</v>
      </c>
      <c r="H28" s="107" t="n">
        <v>0.15</v>
      </c>
      <c r="I28" s="83" t="n">
        <v>79564.64999999999</v>
      </c>
      <c r="J28" s="105" t="inlineStr">
        <is>
          <t>ASSINADO</t>
        </is>
      </c>
      <c r="K28" s="105" t="inlineStr">
        <is>
          <t>MAR</t>
        </is>
      </c>
      <c r="L28" s="105" t="inlineStr">
        <is>
          <t>MAR</t>
        </is>
      </c>
      <c r="M28" s="105" t="inlineStr">
        <is>
          <t>QUENTE</t>
        </is>
      </c>
    </row>
    <row r="29" ht="15" customHeight="1" s="49">
      <c r="A29" s="105" t="inlineStr">
        <is>
          <t>CINTHIA</t>
        </is>
      </c>
      <c r="B29" s="105" t="inlineStr">
        <is>
          <t>Fortaleza</t>
        </is>
      </c>
      <c r="C29" s="106" t="n"/>
      <c r="D29" s="105" t="inlineStr">
        <is>
          <t>SUPERMERCADO ANALI LTDA</t>
        </is>
      </c>
      <c r="E29" s="105" t="inlineStr">
        <is>
          <t>EXCLUSÃO ICMS ST BASE PIS COFINS</t>
        </is>
      </c>
      <c r="F29" s="105" t="inlineStr">
        <is>
          <t>NOVO</t>
        </is>
      </c>
      <c r="G29" s="83" t="n">
        <v>2163025</v>
      </c>
      <c r="H29" s="107" t="n">
        <v>0.15</v>
      </c>
      <c r="I29" s="83" t="n">
        <v>324453.75</v>
      </c>
      <c r="J29" s="105" t="inlineStr">
        <is>
          <t>ASSINADO</t>
        </is>
      </c>
      <c r="K29" s="105" t="inlineStr">
        <is>
          <t>MAR</t>
        </is>
      </c>
      <c r="L29" s="105" t="inlineStr">
        <is>
          <t>MAR</t>
        </is>
      </c>
      <c r="M29" s="105" t="inlineStr">
        <is>
          <t>QUENTE</t>
        </is>
      </c>
    </row>
    <row r="30" ht="15" customHeight="1" s="49">
      <c r="A30" s="105" t="inlineStr">
        <is>
          <t>CINTHIA</t>
        </is>
      </c>
      <c r="B30" s="105" t="inlineStr">
        <is>
          <t>Fortaleza</t>
        </is>
      </c>
      <c r="C30" s="106" t="n"/>
      <c r="D30" s="105" t="inlineStr">
        <is>
          <t>SUPERMERCADO ANALI LTDA</t>
        </is>
      </c>
      <c r="E30" s="105" t="inlineStr">
        <is>
          <t>PIS E COFINS ISUMOS</t>
        </is>
      </c>
      <c r="F30" s="105" t="inlineStr">
        <is>
          <t>NOVO</t>
        </is>
      </c>
      <c r="G30" s="83" t="n">
        <v>106730</v>
      </c>
      <c r="H30" s="107" t="n">
        <v>0.15</v>
      </c>
      <c r="I30" s="83" t="n">
        <v>16009.5</v>
      </c>
      <c r="J30" s="105" t="inlineStr">
        <is>
          <t>ASSINADO</t>
        </is>
      </c>
      <c r="K30" s="105" t="inlineStr">
        <is>
          <t>MAR</t>
        </is>
      </c>
      <c r="L30" s="105" t="inlineStr">
        <is>
          <t>MAR</t>
        </is>
      </c>
      <c r="M30" s="105" t="inlineStr">
        <is>
          <t>QUENTE</t>
        </is>
      </c>
    </row>
    <row r="31" ht="15" customHeight="1" s="49">
      <c r="A31" s="105" t="inlineStr">
        <is>
          <t>DIMAS</t>
        </is>
      </c>
      <c r="B31" s="105" t="inlineStr">
        <is>
          <t>Teresina e Mato Grosso do Sul</t>
        </is>
      </c>
      <c r="C31" s="106" t="n"/>
      <c r="D31" s="105" t="inlineStr">
        <is>
          <t>F M FERREIRA DE SOUSA LTDA TERESINA</t>
        </is>
      </c>
      <c r="E31" s="105" t="inlineStr">
        <is>
          <t>SUBVENÇÃO</t>
        </is>
      </c>
      <c r="F31" s="105" t="inlineStr">
        <is>
          <t>NOVO</t>
        </is>
      </c>
      <c r="G31" s="83" t="n">
        <v>1669171</v>
      </c>
      <c r="H31" s="107" t="n">
        <v>0.07000000000000001</v>
      </c>
      <c r="I31" s="83" t="n">
        <v>116841.97</v>
      </c>
      <c r="J31" s="105" t="inlineStr">
        <is>
          <t>ASSINADO</t>
        </is>
      </c>
      <c r="K31" s="105" t="inlineStr">
        <is>
          <t>DEZ</t>
        </is>
      </c>
      <c r="L31" s="105" t="inlineStr">
        <is>
          <t>DEZ</t>
        </is>
      </c>
      <c r="M31" s="105" t="inlineStr">
        <is>
          <t>QUENTE</t>
        </is>
      </c>
    </row>
    <row r="32" ht="15" customHeight="1" s="49">
      <c r="A32" s="105" t="inlineStr">
        <is>
          <t>DIMAS</t>
        </is>
      </c>
      <c r="B32" s="105" t="inlineStr">
        <is>
          <t>Teresina e Mato Grosso do Sul</t>
        </is>
      </c>
      <c r="C32" s="106" t="n"/>
      <c r="D32" s="105" t="inlineStr">
        <is>
          <t>F M FERREIRA DE SOUSA LTDA TERESINA</t>
        </is>
      </c>
      <c r="E32" s="105" t="inlineStr">
        <is>
          <t>JCP</t>
        </is>
      </c>
      <c r="F32" s="105" t="inlineStr">
        <is>
          <t>NOVO</t>
        </is>
      </c>
      <c r="G32" s="83" t="n">
        <v>174693</v>
      </c>
      <c r="H32" s="107" t="n">
        <v>0.07000000000000001</v>
      </c>
      <c r="I32" s="83" t="n">
        <v>12228.51</v>
      </c>
      <c r="J32" s="105" t="inlineStr">
        <is>
          <t>ASSINADO</t>
        </is>
      </c>
      <c r="K32" s="105" t="inlineStr">
        <is>
          <t>DEZ</t>
        </is>
      </c>
      <c r="L32" s="105" t="inlineStr">
        <is>
          <t>DEZ</t>
        </is>
      </c>
      <c r="M32" s="105" t="inlineStr">
        <is>
          <t>QUENTE</t>
        </is>
      </c>
    </row>
    <row r="33" ht="15" customHeight="1" s="49">
      <c r="A33" s="105" t="inlineStr">
        <is>
          <t>DIMAS</t>
        </is>
      </c>
      <c r="B33" s="105" t="inlineStr">
        <is>
          <t>Teresina e Mato Grosso do Sul</t>
        </is>
      </c>
      <c r="C33" s="106" t="n"/>
      <c r="D33" s="105" t="inlineStr">
        <is>
          <t>F M FERREIRA DE SOUSA LTDA TERESINA</t>
        </is>
      </c>
      <c r="E33" s="105" t="inlineStr">
        <is>
          <t>EXCL ICMS ST</t>
        </is>
      </c>
      <c r="F33" s="105" t="inlineStr">
        <is>
          <t>NOVO</t>
        </is>
      </c>
      <c r="G33" s="83" t="n">
        <v>1996988</v>
      </c>
      <c r="H33" s="107" t="n">
        <v>0.07000000000000001</v>
      </c>
      <c r="I33" s="83" t="n">
        <v>139789.16</v>
      </c>
      <c r="J33" s="105" t="inlineStr">
        <is>
          <t>ASSINADO</t>
        </is>
      </c>
      <c r="K33" s="105" t="inlineStr">
        <is>
          <t>DEZ</t>
        </is>
      </c>
      <c r="L33" s="105" t="inlineStr">
        <is>
          <t>DEZ</t>
        </is>
      </c>
      <c r="M33" s="105" t="inlineStr">
        <is>
          <t>QUENTE</t>
        </is>
      </c>
    </row>
    <row r="34" ht="15" customHeight="1" s="49">
      <c r="A34" s="105" t="inlineStr">
        <is>
          <t>DIMAS</t>
        </is>
      </c>
      <c r="B34" s="105" t="inlineStr">
        <is>
          <t>Teresina e Mato Grosso do Sul</t>
        </is>
      </c>
      <c r="C34" s="106" t="n"/>
      <c r="D34" s="105" t="inlineStr">
        <is>
          <t>F M FERREIRA DE SOUSA LTDA TERESINA</t>
        </is>
      </c>
      <c r="E34" s="105" t="inlineStr">
        <is>
          <t xml:space="preserve">PREVIDENCIARIO </t>
        </is>
      </c>
      <c r="F34" s="105" t="inlineStr">
        <is>
          <t>NOVO</t>
        </is>
      </c>
      <c r="G34" s="83" t="n">
        <v>130125</v>
      </c>
      <c r="H34" s="107" t="n">
        <v>0.06</v>
      </c>
      <c r="I34" s="83" t="n">
        <v>7807.5</v>
      </c>
      <c r="J34" s="105" t="inlineStr">
        <is>
          <t>ASSINADO</t>
        </is>
      </c>
      <c r="K34" s="105" t="inlineStr">
        <is>
          <t>DEZ</t>
        </is>
      </c>
      <c r="L34" s="105" t="inlineStr">
        <is>
          <t>DEZ</t>
        </is>
      </c>
      <c r="M34" s="105" t="inlineStr">
        <is>
          <t>QUENTE</t>
        </is>
      </c>
    </row>
    <row r="35" ht="15" customHeight="1" s="49">
      <c r="A35" s="105" t="inlineStr">
        <is>
          <t>DIMAS</t>
        </is>
      </c>
      <c r="B35" s="105" t="inlineStr">
        <is>
          <t>Teresina e Mato Grosso do Sul</t>
        </is>
      </c>
      <c r="C35" s="106" t="n"/>
      <c r="D35" s="105" t="inlineStr">
        <is>
          <t>ESSENCIAL ATACADO LTDA</t>
        </is>
      </c>
      <c r="E35" s="105" t="inlineStr">
        <is>
          <t>EXCL ICMS ST</t>
        </is>
      </c>
      <c r="F35" s="105" t="inlineStr">
        <is>
          <t>NOVO</t>
        </is>
      </c>
      <c r="G35" s="83" t="n">
        <v>1300203</v>
      </c>
      <c r="H35" s="107" t="n">
        <v>0.15</v>
      </c>
      <c r="I35" s="83" t="n">
        <v>195030.45</v>
      </c>
      <c r="J35" s="105" t="inlineStr">
        <is>
          <t>ASSINADO</t>
        </is>
      </c>
      <c r="K35" s="105" t="inlineStr">
        <is>
          <t>DEZ</t>
        </is>
      </c>
      <c r="L35" s="105" t="inlineStr">
        <is>
          <t>DEZ</t>
        </is>
      </c>
      <c r="M35" s="105" t="inlineStr">
        <is>
          <t>QUENTE</t>
        </is>
      </c>
    </row>
    <row r="36" ht="15" customHeight="1" s="49">
      <c r="A36" s="105" t="inlineStr">
        <is>
          <t>DIMAS</t>
        </is>
      </c>
      <c r="B36" s="105" t="inlineStr">
        <is>
          <t>Teresina e Mato Grosso do Sul</t>
        </is>
      </c>
      <c r="C36" s="106" t="n"/>
      <c r="D36" s="105" t="inlineStr">
        <is>
          <t>ESSENCIAL ATACADO LTDA</t>
        </is>
      </c>
      <c r="E36" s="105" t="inlineStr">
        <is>
          <t>PIS COFINS</t>
        </is>
      </c>
      <c r="F36" s="105" t="inlineStr">
        <is>
          <t>NOVO</t>
        </is>
      </c>
      <c r="G36" s="83" t="n">
        <v>147984</v>
      </c>
      <c r="H36" s="107" t="n">
        <v>0.15</v>
      </c>
      <c r="I36" s="83" t="n">
        <v>29596.8</v>
      </c>
      <c r="J36" s="105" t="inlineStr">
        <is>
          <t>ASSINADO</t>
        </is>
      </c>
      <c r="K36" s="105" t="inlineStr">
        <is>
          <t>DEZ</t>
        </is>
      </c>
      <c r="L36" s="105" t="inlineStr">
        <is>
          <t>DEZ</t>
        </is>
      </c>
      <c r="M36" s="105" t="inlineStr">
        <is>
          <t>QUENTE</t>
        </is>
      </c>
    </row>
    <row r="37" ht="15" customHeight="1" s="49">
      <c r="A37" s="105" t="inlineStr">
        <is>
          <t>DIMAS</t>
        </is>
      </c>
      <c r="B37" s="105" t="inlineStr">
        <is>
          <t>Teresina e Mato Grosso do Sul</t>
        </is>
      </c>
      <c r="C37" s="106" t="n"/>
      <c r="D37" s="105" t="inlineStr">
        <is>
          <t>SUPERMERCADO NANTES LTDA COXIM – MS</t>
        </is>
      </c>
      <c r="E37" s="105" t="inlineStr">
        <is>
          <t>IRPJ E CSLL</t>
        </is>
      </c>
      <c r="F37" s="105" t="inlineStr">
        <is>
          <t>NOVO</t>
        </is>
      </c>
      <c r="G37" s="83" t="n">
        <v>131076</v>
      </c>
      <c r="H37" s="107" t="n">
        <v>0.2</v>
      </c>
      <c r="I37" s="83" t="n">
        <v>26215.2</v>
      </c>
      <c r="J37" s="105" t="inlineStr">
        <is>
          <t>ASSINADO</t>
        </is>
      </c>
      <c r="K37" s="105" t="inlineStr">
        <is>
          <t>DEZ</t>
        </is>
      </c>
      <c r="L37" s="105" t="inlineStr">
        <is>
          <t>DEZ</t>
        </is>
      </c>
      <c r="M37" s="105" t="inlineStr">
        <is>
          <t>QUENTE</t>
        </is>
      </c>
    </row>
    <row r="38" ht="15" customHeight="1" s="49">
      <c r="A38" s="105" t="inlineStr">
        <is>
          <t>DIMAS</t>
        </is>
      </c>
      <c r="B38" s="105" t="inlineStr">
        <is>
          <t>Teresina e Mato Grosso do Sul</t>
        </is>
      </c>
      <c r="C38" s="106" t="n"/>
      <c r="D38" s="105" t="inlineStr">
        <is>
          <t>NANTES &amp; BRITO LTDA COXIM – MS</t>
        </is>
      </c>
      <c r="E38" s="105" t="inlineStr">
        <is>
          <t>PIS COFINS</t>
        </is>
      </c>
      <c r="F38" s="105" t="inlineStr">
        <is>
          <t>NOVO</t>
        </is>
      </c>
      <c r="G38" s="83" t="n">
        <v>140326</v>
      </c>
      <c r="H38" s="107" t="n">
        <v>0.2</v>
      </c>
      <c r="I38" s="83" t="n">
        <v>28065.2</v>
      </c>
      <c r="J38" s="105" t="inlineStr">
        <is>
          <t>ASSINADO</t>
        </is>
      </c>
      <c r="K38" s="105" t="inlineStr">
        <is>
          <t>DEZ</t>
        </is>
      </c>
      <c r="L38" s="105" t="inlineStr">
        <is>
          <t>DEZ</t>
        </is>
      </c>
      <c r="M38" s="105" t="inlineStr">
        <is>
          <t>QUENTE</t>
        </is>
      </c>
    </row>
    <row r="39" ht="15" customHeight="1" s="49">
      <c r="A39" s="105" t="inlineStr">
        <is>
          <t>DIMAS</t>
        </is>
      </c>
      <c r="B39" s="105" t="inlineStr">
        <is>
          <t>Teresina e Mato Grosso do Sul</t>
        </is>
      </c>
      <c r="C39" s="106" t="n"/>
      <c r="D39" s="105" t="inlineStr">
        <is>
          <t>NANTES &amp; BRITO LTDA COXIM – MS</t>
        </is>
      </c>
      <c r="E39" s="105" t="inlineStr">
        <is>
          <t>SUB IRPJ CSLL IMCS</t>
        </is>
      </c>
      <c r="F39" s="105" t="inlineStr">
        <is>
          <t>NOVO</t>
        </is>
      </c>
      <c r="G39" s="83" t="n">
        <v>261781</v>
      </c>
      <c r="H39" s="107" t="n">
        <v>0.2</v>
      </c>
      <c r="I39" s="83" t="n">
        <v>52356.2</v>
      </c>
      <c r="J39" s="105" t="inlineStr">
        <is>
          <t>ASSINADO</t>
        </is>
      </c>
      <c r="K39" s="105" t="inlineStr">
        <is>
          <t>DEZ</t>
        </is>
      </c>
      <c r="L39" s="105" t="inlineStr">
        <is>
          <t>DEZ</t>
        </is>
      </c>
      <c r="M39" s="105" t="inlineStr">
        <is>
          <t>QUENTE</t>
        </is>
      </c>
    </row>
    <row r="40" ht="15" customHeight="1" s="49">
      <c r="A40" s="105" t="inlineStr">
        <is>
          <t>DIMAS</t>
        </is>
      </c>
      <c r="B40" s="105" t="inlineStr">
        <is>
          <t>Teresina e Mato Grosso do Sul</t>
        </is>
      </c>
      <c r="C40" s="106" t="n"/>
      <c r="D40" s="105" t="inlineStr">
        <is>
          <t>NANTES &amp; BRITO LTDA COXIM – MS</t>
        </is>
      </c>
      <c r="E40" s="105" t="inlineStr">
        <is>
          <t>IRPJ E CSLL</t>
        </is>
      </c>
      <c r="F40" s="105" t="inlineStr">
        <is>
          <t>NOVO</t>
        </is>
      </c>
      <c r="G40" s="83" t="n">
        <v>137717</v>
      </c>
      <c r="H40" s="107" t="n">
        <v>0.2</v>
      </c>
      <c r="I40" s="83" t="n">
        <v>27543.4</v>
      </c>
      <c r="J40" s="105" t="inlineStr">
        <is>
          <t>ASSINADO</t>
        </is>
      </c>
      <c r="K40" s="105" t="inlineStr">
        <is>
          <t>DEZ</t>
        </is>
      </c>
      <c r="L40" s="105" t="inlineStr">
        <is>
          <t>DEZ</t>
        </is>
      </c>
      <c r="M40" s="105" t="inlineStr">
        <is>
          <t>QUENTE</t>
        </is>
      </c>
    </row>
    <row r="41" ht="15" customHeight="1" s="49">
      <c r="A41" s="105" t="inlineStr">
        <is>
          <t>DIMAS</t>
        </is>
      </c>
      <c r="B41" s="105" t="inlineStr">
        <is>
          <t>Teresina e Mato Grosso do Sul</t>
        </is>
      </c>
      <c r="C41" s="106" t="n"/>
      <c r="D41" s="105" t="inlineStr">
        <is>
          <t>NANTES &amp; BRITO LTDA COXIM – MS</t>
        </is>
      </c>
      <c r="E41" s="105" t="inlineStr">
        <is>
          <t>ICMS INSUMOS</t>
        </is>
      </c>
      <c r="F41" s="105" t="inlineStr">
        <is>
          <t>NOVO</t>
        </is>
      </c>
      <c r="G41" s="83" t="n"/>
      <c r="H41" s="107" t="n">
        <v>0.2</v>
      </c>
      <c r="I41" s="83" t="n">
        <v>0</v>
      </c>
      <c r="J41" s="105" t="inlineStr">
        <is>
          <t>ASSINADO</t>
        </is>
      </c>
      <c r="K41" s="105" t="inlineStr">
        <is>
          <t>DEZ</t>
        </is>
      </c>
      <c r="L41" s="105" t="inlineStr">
        <is>
          <t>DEZ</t>
        </is>
      </c>
      <c r="M41" s="105" t="inlineStr">
        <is>
          <t>QUENTE</t>
        </is>
      </c>
    </row>
    <row r="42" ht="15" customHeight="1" s="49">
      <c r="A42" s="105" t="inlineStr">
        <is>
          <t>DIMAS</t>
        </is>
      </c>
      <c r="B42" s="105" t="inlineStr">
        <is>
          <t>Teresina e Mato Grosso do Sul</t>
        </is>
      </c>
      <c r="C42" s="106" t="n"/>
      <c r="D42" s="105" t="inlineStr">
        <is>
          <t>NANTES &amp; BRITO LTDA COXIM – MS</t>
        </is>
      </c>
      <c r="E42" s="105" t="inlineStr">
        <is>
          <t>SUBV IRPJ</t>
        </is>
      </c>
      <c r="F42" s="105" t="inlineStr">
        <is>
          <t>NOVO</t>
        </is>
      </c>
      <c r="G42" s="83" t="n">
        <v>73540</v>
      </c>
      <c r="H42" s="107" t="n">
        <v>0.2</v>
      </c>
      <c r="I42" s="83" t="n">
        <v>14708</v>
      </c>
      <c r="J42" s="105" t="inlineStr">
        <is>
          <t>ASSINADO</t>
        </is>
      </c>
      <c r="K42" s="105" t="inlineStr">
        <is>
          <t>DEZ</t>
        </is>
      </c>
      <c r="L42" s="105" t="inlineStr">
        <is>
          <t>DEZ</t>
        </is>
      </c>
      <c r="M42" s="105" t="inlineStr">
        <is>
          <t>QUENTE</t>
        </is>
      </c>
    </row>
    <row r="43" ht="15" customHeight="1" s="49">
      <c r="A43" s="105" t="inlineStr">
        <is>
          <t>DIMAS</t>
        </is>
      </c>
      <c r="B43" s="105" t="inlineStr">
        <is>
          <t>Teresina e Mato Grosso do Sul</t>
        </is>
      </c>
      <c r="C43" s="106" t="n"/>
      <c r="D43" s="105" t="inlineStr">
        <is>
          <t>HOT SAT INDUSTRIA DE MAQUINAS LTDA</t>
        </is>
      </c>
      <c r="E43" s="105" t="inlineStr">
        <is>
          <t>IRPJ CSLL</t>
        </is>
      </c>
      <c r="F43" s="105" t="inlineStr">
        <is>
          <t>NOVO</t>
        </is>
      </c>
      <c r="G43" s="83" t="n">
        <v>63506</v>
      </c>
      <c r="H43" s="107" t="n">
        <v>0.18</v>
      </c>
      <c r="I43" s="83" t="n">
        <v>11431.08</v>
      </c>
      <c r="J43" s="105" t="inlineStr">
        <is>
          <t>ASSINADO</t>
        </is>
      </c>
      <c r="K43" s="105" t="inlineStr">
        <is>
          <t>FEV</t>
        </is>
      </c>
      <c r="L43" s="105" t="inlineStr">
        <is>
          <t>FEV</t>
        </is>
      </c>
      <c r="M43" s="105" t="inlineStr">
        <is>
          <t>QUENTE</t>
        </is>
      </c>
    </row>
    <row r="44" ht="15" customHeight="1" s="49">
      <c r="A44" s="105" t="inlineStr">
        <is>
          <t>DIMAS</t>
        </is>
      </c>
      <c r="B44" s="105" t="inlineStr">
        <is>
          <t>Teresina e Mato Grosso do Sul</t>
        </is>
      </c>
      <c r="C44" s="106" t="n"/>
      <c r="D44" s="105" t="inlineStr">
        <is>
          <t>HOT SAT INDUSTRIA DE MAQUINAS LTDA</t>
        </is>
      </c>
      <c r="E44" s="105" t="inlineStr">
        <is>
          <t>EXCL ICMS ST</t>
        </is>
      </c>
      <c r="F44" s="105" t="inlineStr">
        <is>
          <t>NOVO</t>
        </is>
      </c>
      <c r="G44" s="83" t="n">
        <v>163198</v>
      </c>
      <c r="H44" s="107" t="n">
        <v>0.18</v>
      </c>
      <c r="I44" s="83" t="n">
        <v>29375.64</v>
      </c>
      <c r="J44" s="105" t="inlineStr">
        <is>
          <t>ASSINADO</t>
        </is>
      </c>
      <c r="K44" s="105" t="inlineStr">
        <is>
          <t>FEV</t>
        </is>
      </c>
      <c r="L44" s="105" t="inlineStr">
        <is>
          <t>FEV</t>
        </is>
      </c>
      <c r="M44" s="105" t="inlineStr">
        <is>
          <t>QUENTE</t>
        </is>
      </c>
    </row>
    <row r="45" ht="15" customHeight="1" s="49">
      <c r="A45" s="105" t="inlineStr">
        <is>
          <t>DIMAS</t>
        </is>
      </c>
      <c r="B45" s="105" t="inlineStr">
        <is>
          <t>Teresina e Mato Grosso do Sul</t>
        </is>
      </c>
      <c r="C45" s="106" t="n"/>
      <c r="D45" s="105" t="inlineStr">
        <is>
          <t>ZACARINI E CIA LTDA</t>
        </is>
      </c>
      <c r="E45" s="105" t="inlineStr">
        <is>
          <t>SUBVENÇÃO IRPJ E CSLL</t>
        </is>
      </c>
      <c r="F45" s="105" t="inlineStr">
        <is>
          <t>NOVO</t>
        </is>
      </c>
      <c r="G45" s="83" t="n">
        <v>187617</v>
      </c>
      <c r="H45" s="107" t="n">
        <v>0.2</v>
      </c>
      <c r="I45" s="83" t="n">
        <v>37523.4</v>
      </c>
      <c r="J45" s="105" t="inlineStr">
        <is>
          <t>BASE</t>
        </is>
      </c>
      <c r="K45" s="105" t="inlineStr">
        <is>
          <t>JAN</t>
        </is>
      </c>
      <c r="L45" s="105" t="n"/>
      <c r="M45" s="105" t="inlineStr">
        <is>
          <t>QUENTE</t>
        </is>
      </c>
    </row>
    <row r="46" ht="15" customHeight="1" s="49">
      <c r="A46" s="105" t="inlineStr">
        <is>
          <t>DIMAS</t>
        </is>
      </c>
      <c r="B46" s="105" t="inlineStr">
        <is>
          <t>Teresina e Mato Grosso do Sul</t>
        </is>
      </c>
      <c r="C46" s="106" t="n"/>
      <c r="D46" s="105" t="inlineStr">
        <is>
          <t>ZACARINI E CIA LTDA</t>
        </is>
      </c>
      <c r="E46" s="105" t="inlineStr">
        <is>
          <t>PIS E COFINS INSUMOS</t>
        </is>
      </c>
      <c r="F46" s="105" t="inlineStr">
        <is>
          <t>NOVO</t>
        </is>
      </c>
      <c r="G46" s="83" t="n">
        <v>224342</v>
      </c>
      <c r="H46" s="107" t="n">
        <v>0.2</v>
      </c>
      <c r="I46" s="83" t="n">
        <v>44868.4</v>
      </c>
      <c r="J46" s="105" t="inlineStr">
        <is>
          <t>BASE</t>
        </is>
      </c>
      <c r="K46" s="105" t="inlineStr">
        <is>
          <t>JAN</t>
        </is>
      </c>
      <c r="L46" s="105" t="n"/>
      <c r="M46" s="105" t="inlineStr">
        <is>
          <t>QUENTE</t>
        </is>
      </c>
    </row>
    <row r="47" ht="15" customHeight="1" s="49">
      <c r="A47" s="105" t="inlineStr">
        <is>
          <t>DIMAS</t>
        </is>
      </c>
      <c r="B47" s="105" t="inlineStr">
        <is>
          <t>Teresina e Mato Grosso do Sul</t>
        </is>
      </c>
      <c r="C47" s="106" t="n"/>
      <c r="D47" s="105" t="inlineStr">
        <is>
          <t>ALIMENTOS FLOR DO VALE</t>
        </is>
      </c>
      <c r="E47" s="105" t="inlineStr">
        <is>
          <t>SUBVENÇÃO IRPJ E CSLL ICMS</t>
        </is>
      </c>
      <c r="F47" s="105" t="inlineStr">
        <is>
          <t>NOVO</t>
        </is>
      </c>
      <c r="G47" s="83" t="n">
        <v>70422</v>
      </c>
      <c r="H47" s="107" t="n">
        <v>0.2</v>
      </c>
      <c r="I47" s="83" t="n">
        <v>14084.4</v>
      </c>
      <c r="J47" s="105" t="inlineStr">
        <is>
          <t>BASE</t>
        </is>
      </c>
      <c r="K47" s="105" t="inlineStr">
        <is>
          <t>JAN</t>
        </is>
      </c>
      <c r="L47" s="105" t="n"/>
      <c r="M47" s="105" t="inlineStr">
        <is>
          <t>QUENTE</t>
        </is>
      </c>
    </row>
    <row r="48" ht="15" customHeight="1" s="49">
      <c r="A48" s="105" t="inlineStr">
        <is>
          <t>DIMAS</t>
        </is>
      </c>
      <c r="B48" s="105" t="inlineStr">
        <is>
          <t>Teresina e Mato Grosso do Sul</t>
        </is>
      </c>
      <c r="C48" s="106" t="n"/>
      <c r="D48" s="105" t="inlineStr">
        <is>
          <t>ALIMENTOS FLOR DO VALE</t>
        </is>
      </c>
      <c r="E48" s="105" t="inlineStr">
        <is>
          <t>IRPJ CSLL- DEDUÇÃO JCP</t>
        </is>
      </c>
      <c r="F48" s="105" t="inlineStr">
        <is>
          <t>NOVO</t>
        </is>
      </c>
      <c r="G48" s="83" t="n">
        <v>27442</v>
      </c>
      <c r="H48" s="107" t="n">
        <v>0.2</v>
      </c>
      <c r="I48" s="83" t="n">
        <v>5488.4</v>
      </c>
      <c r="J48" s="105" t="inlineStr">
        <is>
          <t>BASE</t>
        </is>
      </c>
      <c r="K48" s="105" t="inlineStr">
        <is>
          <t>JAN</t>
        </is>
      </c>
      <c r="L48" s="105" t="n"/>
      <c r="M48" s="105" t="inlineStr">
        <is>
          <t>QUENTE</t>
        </is>
      </c>
    </row>
    <row r="49" ht="15" customHeight="1" s="49">
      <c r="A49" s="105" t="inlineStr">
        <is>
          <t>DIMAS</t>
        </is>
      </c>
      <c r="B49" s="105" t="inlineStr">
        <is>
          <t>Teresina e Mato Grosso do Sul</t>
        </is>
      </c>
      <c r="C49" s="106" t="n"/>
      <c r="D49" s="105" t="inlineStr">
        <is>
          <t>ALIMENTOS FLOR DO VALE</t>
        </is>
      </c>
      <c r="E49" s="105" t="inlineStr">
        <is>
          <t>EXCLUSÃO ICMS ST BASE PIS COFINS</t>
        </is>
      </c>
      <c r="F49" s="105" t="inlineStr">
        <is>
          <t>NOVO</t>
        </is>
      </c>
      <c r="G49" s="83" t="n">
        <v>14353</v>
      </c>
      <c r="H49" s="107" t="n">
        <v>0.2</v>
      </c>
      <c r="I49" s="83" t="n">
        <v>2870.6</v>
      </c>
      <c r="J49" s="105" t="inlineStr">
        <is>
          <t>BASE</t>
        </is>
      </c>
      <c r="K49" s="105" t="inlineStr">
        <is>
          <t>JAN</t>
        </is>
      </c>
      <c r="L49" s="105" t="n"/>
      <c r="M49" s="105" t="inlineStr">
        <is>
          <t>QUENTE</t>
        </is>
      </c>
    </row>
    <row r="50" ht="15" customHeight="1" s="49">
      <c r="A50" s="105" t="inlineStr">
        <is>
          <t>DIMAS</t>
        </is>
      </c>
      <c r="B50" s="105" t="inlineStr">
        <is>
          <t>Teresina e Mato Grosso do Sul</t>
        </is>
      </c>
      <c r="C50" s="106" t="n"/>
      <c r="D50" s="105" t="inlineStr">
        <is>
          <t>C M COMERCIO DE ALIMENTOS LTDA</t>
        </is>
      </c>
      <c r="E50" s="105" t="inlineStr">
        <is>
          <t>EXCLUSAO DE ICMS ST DA BASE PIS E COFINS</t>
        </is>
      </c>
      <c r="F50" s="105" t="inlineStr">
        <is>
          <t>NOVO</t>
        </is>
      </c>
      <c r="G50" s="83" t="n"/>
      <c r="H50" s="107" t="n">
        <v>0.2</v>
      </c>
      <c r="I50" s="83" t="n">
        <v>0</v>
      </c>
      <c r="J50" s="105" t="inlineStr">
        <is>
          <t>BASE</t>
        </is>
      </c>
      <c r="K50" s="105" t="inlineStr">
        <is>
          <t>JAN</t>
        </is>
      </c>
      <c r="L50" s="105" t="n"/>
      <c r="M50" s="105" t="inlineStr">
        <is>
          <t>QUENTE</t>
        </is>
      </c>
    </row>
    <row r="51" ht="15" customHeight="1" s="49">
      <c r="A51" s="105" t="inlineStr">
        <is>
          <t>DIMAS</t>
        </is>
      </c>
      <c r="B51" s="105" t="inlineStr">
        <is>
          <t>Teresina e Mato Grosso do Sul</t>
        </is>
      </c>
      <c r="C51" s="106" t="n"/>
      <c r="D51" s="105" t="inlineStr">
        <is>
          <t>DISTRIBUIDORA DE CARNES LAGUNENSE LTDA</t>
        </is>
      </c>
      <c r="E51" s="105" t="inlineStr">
        <is>
          <t>IRPJ CSLL- DEDUÇÃO JCP</t>
        </is>
      </c>
      <c r="F51" s="105" t="inlineStr">
        <is>
          <t>NOVO</t>
        </is>
      </c>
      <c r="G51" s="83" t="n">
        <v>271930</v>
      </c>
      <c r="H51" s="107" t="n">
        <v>0.2</v>
      </c>
      <c r="I51" s="83" t="n">
        <v>54386</v>
      </c>
      <c r="J51" s="105" t="inlineStr">
        <is>
          <t>BASE</t>
        </is>
      </c>
      <c r="K51" s="105" t="inlineStr">
        <is>
          <t>JAN</t>
        </is>
      </c>
      <c r="L51" s="105" t="n"/>
      <c r="M51" s="105" t="inlineStr">
        <is>
          <t>QUENTE</t>
        </is>
      </c>
    </row>
    <row r="52" ht="15" customHeight="1" s="49">
      <c r="A52" s="105" t="inlineStr">
        <is>
          <t>DIMAS</t>
        </is>
      </c>
      <c r="B52" s="105" t="inlineStr">
        <is>
          <t>Teresina e Mato Grosso do Sul</t>
        </is>
      </c>
      <c r="C52" s="106" t="n"/>
      <c r="D52" s="105" t="inlineStr">
        <is>
          <t>C M COMERCIO DE ALIMENTOS LTDA</t>
        </is>
      </c>
      <c r="E52" s="105" t="inlineStr">
        <is>
          <t>ICMS INSUMOS INTERMEDIARIOS</t>
        </is>
      </c>
      <c r="F52" s="105" t="inlineStr">
        <is>
          <t>NOVO</t>
        </is>
      </c>
      <c r="G52" s="83" t="n"/>
      <c r="H52" s="107" t="n">
        <v>0.2</v>
      </c>
      <c r="I52" s="83" t="n">
        <v>0</v>
      </c>
      <c r="J52" s="105" t="inlineStr">
        <is>
          <t>BASE</t>
        </is>
      </c>
      <c r="K52" s="105" t="inlineStr">
        <is>
          <t>JAN</t>
        </is>
      </c>
      <c r="L52" s="105" t="n"/>
      <c r="M52" s="105" t="inlineStr">
        <is>
          <t>MORNO</t>
        </is>
      </c>
    </row>
    <row r="53" ht="15" customHeight="1" s="49">
      <c r="A53" s="105" t="inlineStr">
        <is>
          <t>DIMAS</t>
        </is>
      </c>
      <c r="B53" s="105" t="inlineStr">
        <is>
          <t>Teresina e Mato Grosso do Sul</t>
        </is>
      </c>
      <c r="C53" s="106" t="n"/>
      <c r="D53" s="105" t="inlineStr">
        <is>
          <t>HOT SAT TELECOMUNICAÇOES LTDA</t>
        </is>
      </c>
      <c r="E53" s="105" t="inlineStr">
        <is>
          <t>EXCLUSAO DO ICMST ST da base do PIS e COFINS</t>
        </is>
      </c>
      <c r="F53" s="105" t="inlineStr">
        <is>
          <t>NOVO</t>
        </is>
      </c>
      <c r="G53" s="83" t="n">
        <v>819735</v>
      </c>
      <c r="H53" s="107" t="n">
        <v>0.18</v>
      </c>
      <c r="I53" s="83" t="n">
        <v>894.473</v>
      </c>
      <c r="J53" s="105" t="inlineStr">
        <is>
          <t>ASSINADO</t>
        </is>
      </c>
      <c r="K53" s="105" t="inlineStr">
        <is>
          <t>JAN</t>
        </is>
      </c>
      <c r="L53" s="105" t="inlineStr">
        <is>
          <t>FEV</t>
        </is>
      </c>
      <c r="M53" s="105" t="inlineStr">
        <is>
          <t>QUENTE</t>
        </is>
      </c>
    </row>
    <row r="54" ht="15" customHeight="1" s="49">
      <c r="A54" s="105" t="inlineStr">
        <is>
          <t>DIMAS</t>
        </is>
      </c>
      <c r="B54" s="105" t="inlineStr">
        <is>
          <t>Teresina e Mato Grosso do Sul</t>
        </is>
      </c>
      <c r="C54" s="106" t="n"/>
      <c r="D54" s="105" t="inlineStr">
        <is>
          <t>HOT SAT TELECOMUNICAÇOES LTDA</t>
        </is>
      </c>
      <c r="E54" s="105" t="inlineStr">
        <is>
          <t>EXCLUSAO DO ICMST propio base PIS e COFINS</t>
        </is>
      </c>
      <c r="F54" s="105" t="inlineStr">
        <is>
          <t>NOVO</t>
        </is>
      </c>
      <c r="G54" s="83" t="n">
        <v>487582</v>
      </c>
      <c r="H54" s="107" t="n">
        <v>0.18</v>
      </c>
      <c r="I54" s="83" t="n">
        <v>87764.75999999999</v>
      </c>
      <c r="J54" s="105" t="inlineStr">
        <is>
          <t>ASSINADO</t>
        </is>
      </c>
      <c r="K54" s="105" t="inlineStr">
        <is>
          <t>JAN</t>
        </is>
      </c>
      <c r="L54" s="105" t="inlineStr">
        <is>
          <t>FEV</t>
        </is>
      </c>
      <c r="M54" s="105" t="inlineStr">
        <is>
          <t>QUENTE</t>
        </is>
      </c>
    </row>
    <row r="55" ht="15" customHeight="1" s="49">
      <c r="A55" s="105" t="inlineStr">
        <is>
          <t>DIMAS</t>
        </is>
      </c>
      <c r="B55" s="105" t="inlineStr">
        <is>
          <t>Teresina e Mato Grosso do Sul</t>
        </is>
      </c>
      <c r="C55" s="106" t="n"/>
      <c r="D55" s="105" t="inlineStr">
        <is>
          <t>HOT SAT INDUSTRIA DE MAQUINAS LTDA</t>
        </is>
      </c>
      <c r="E55" s="105" t="inlineStr">
        <is>
          <t xml:space="preserve">PREVIDENCIARIO </t>
        </is>
      </c>
      <c r="F55" s="105" t="inlineStr">
        <is>
          <t>UPSELL</t>
        </is>
      </c>
      <c r="G55" s="83" t="n">
        <v>30490.97</v>
      </c>
      <c r="H55" s="107" t="n">
        <v>0.2</v>
      </c>
      <c r="I55" s="83" t="n">
        <v>6098.19</v>
      </c>
      <c r="J55" s="105" t="inlineStr">
        <is>
          <t>BASE</t>
        </is>
      </c>
      <c r="K55" s="105" t="inlineStr">
        <is>
          <t>MAR</t>
        </is>
      </c>
      <c r="L55" s="105" t="n"/>
      <c r="M55" s="105" t="inlineStr">
        <is>
          <t>QUENTE</t>
        </is>
      </c>
    </row>
    <row r="56" ht="15" customHeight="1" s="49">
      <c r="A56" s="105" t="inlineStr">
        <is>
          <t>DIMAS</t>
        </is>
      </c>
      <c r="B56" s="105" t="inlineStr">
        <is>
          <t>Teresina e Mato Grosso do Sul</t>
        </is>
      </c>
      <c r="C56" s="106" t="n"/>
      <c r="D56" s="105" t="inlineStr">
        <is>
          <t>HOT SAT TELECOMUNICAÇOES LTDA</t>
        </is>
      </c>
      <c r="E56" s="105" t="inlineStr">
        <is>
          <t xml:space="preserve">PREVIDENCIARIO </t>
        </is>
      </c>
      <c r="F56" s="105" t="inlineStr">
        <is>
          <t>UPSELL</t>
        </is>
      </c>
      <c r="G56" s="83" t="n">
        <v>470883.67</v>
      </c>
      <c r="H56" s="107" t="n">
        <v>0.2</v>
      </c>
      <c r="I56" s="83" t="n">
        <v>94176.73</v>
      </c>
      <c r="J56" s="105" t="inlineStr">
        <is>
          <t>BASE</t>
        </is>
      </c>
      <c r="K56" s="105" t="inlineStr">
        <is>
          <t>MAR</t>
        </is>
      </c>
      <c r="L56" s="105" t="n"/>
      <c r="M56" s="105" t="inlineStr">
        <is>
          <t>QUENTE</t>
        </is>
      </c>
    </row>
    <row r="57" ht="15" customHeight="1" s="49">
      <c r="A57" s="105" t="inlineStr">
        <is>
          <t>DIMAS</t>
        </is>
      </c>
      <c r="B57" s="105" t="inlineStr">
        <is>
          <t>Teresina e Mato Grosso do Sul</t>
        </is>
      </c>
      <c r="C57" s="106" t="n"/>
      <c r="D57" s="105" t="inlineStr">
        <is>
          <t>MELO &amp; CUENCA LTDA</t>
        </is>
      </c>
      <c r="E57" s="105" t="inlineStr">
        <is>
          <t>SUBVENÇÃO IRPJ E CSLL</t>
        </is>
      </c>
      <c r="F57" s="105" t="inlineStr">
        <is>
          <t>NOVO</t>
        </is>
      </c>
      <c r="G57" s="83" t="n"/>
      <c r="H57" s="107" t="n">
        <v>0.2</v>
      </c>
      <c r="I57" s="83" t="n">
        <v>0</v>
      </c>
      <c r="J57" s="105" t="inlineStr">
        <is>
          <t>BASE</t>
        </is>
      </c>
      <c r="K57" s="105" t="inlineStr">
        <is>
          <t>JAN</t>
        </is>
      </c>
      <c r="L57" s="105" t="n"/>
      <c r="M57" s="105" t="inlineStr">
        <is>
          <t>MORNO</t>
        </is>
      </c>
    </row>
    <row r="58" ht="15" customHeight="1" s="49">
      <c r="A58" s="105" t="inlineStr">
        <is>
          <t>DIMAS</t>
        </is>
      </c>
      <c r="B58" s="105" t="inlineStr">
        <is>
          <t>Teresina e Mato Grosso do Sul</t>
        </is>
      </c>
      <c r="C58" s="106" t="n"/>
      <c r="D58" s="105" t="inlineStr">
        <is>
          <t>COLD LIN INDUSTRIA E COMERCIO DE EQUIPAMENTOS</t>
        </is>
      </c>
      <c r="E58" s="105" t="inlineStr">
        <is>
          <t>PIS E COFINS INSUMOS</t>
        </is>
      </c>
      <c r="F58" s="105" t="inlineStr">
        <is>
          <t>NOVO</t>
        </is>
      </c>
      <c r="G58" s="83" t="n">
        <v>371887</v>
      </c>
      <c r="H58" s="107" t="n">
        <v>0.25</v>
      </c>
      <c r="I58" s="83" t="n">
        <v>92971.75</v>
      </c>
      <c r="J58" s="105" t="inlineStr">
        <is>
          <t>ASSINADO</t>
        </is>
      </c>
      <c r="K58" s="105" t="inlineStr">
        <is>
          <t>JAN</t>
        </is>
      </c>
      <c r="L58" s="105" t="inlineStr">
        <is>
          <t>FEV</t>
        </is>
      </c>
      <c r="M58" s="105" t="inlineStr">
        <is>
          <t>QUENTE</t>
        </is>
      </c>
    </row>
    <row r="59" ht="15" customHeight="1" s="49">
      <c r="A59" s="105" t="inlineStr">
        <is>
          <t>DIMAS</t>
        </is>
      </c>
      <c r="B59" s="105" t="inlineStr">
        <is>
          <t>Teresina e Mato Grosso do Sul</t>
        </is>
      </c>
      <c r="C59" s="106" t="n"/>
      <c r="D59" s="105" t="inlineStr">
        <is>
          <t>COLD LIN INDUSTRIA E COMERCIO DE EQUIPAMENTOS</t>
        </is>
      </c>
      <c r="E59" s="105" t="inlineStr">
        <is>
          <t>SUBV IRPJ CSLL EFEITO CAIXA</t>
        </is>
      </c>
      <c r="F59" s="105" t="inlineStr">
        <is>
          <t>NOVO</t>
        </is>
      </c>
      <c r="G59" s="83" t="n">
        <v>116431</v>
      </c>
      <c r="H59" s="107" t="n">
        <v>0.25</v>
      </c>
      <c r="I59" s="83" t="n">
        <v>29107.75</v>
      </c>
      <c r="J59" s="105" t="inlineStr">
        <is>
          <t>ASSINADO</t>
        </is>
      </c>
      <c r="K59" s="105" t="inlineStr">
        <is>
          <t>JAN</t>
        </is>
      </c>
      <c r="L59" s="105" t="inlineStr">
        <is>
          <t>FEV</t>
        </is>
      </c>
      <c r="M59" s="105" t="inlineStr">
        <is>
          <t>QUENTE</t>
        </is>
      </c>
    </row>
    <row r="60" ht="15" customHeight="1" s="49">
      <c r="A60" s="105" t="inlineStr">
        <is>
          <t>DIMAS</t>
        </is>
      </c>
      <c r="B60" s="105" t="inlineStr">
        <is>
          <t>Teresina e Mato Grosso do Sul</t>
        </is>
      </c>
      <c r="C60" s="106" t="n"/>
      <c r="D60" s="105" t="inlineStr">
        <is>
          <t>COLD LIN INDUSTRIA E COMERCIO DE EQUIPAMENTOS</t>
        </is>
      </c>
      <c r="E60" s="105" t="inlineStr">
        <is>
          <t>SUBV IRPJ E CSLL EFEITO DIFERIDO</t>
        </is>
      </c>
      <c r="F60" s="105" t="inlineStr">
        <is>
          <t>NOVO</t>
        </is>
      </c>
      <c r="G60" s="83" t="n">
        <v>473964</v>
      </c>
      <c r="H60" s="107" t="n">
        <v>0.25</v>
      </c>
      <c r="I60" s="83" t="n">
        <v>118491</v>
      </c>
      <c r="J60" s="105" t="inlineStr">
        <is>
          <t>ASSINADO</t>
        </is>
      </c>
      <c r="K60" s="105" t="inlineStr">
        <is>
          <t>JAN</t>
        </is>
      </c>
      <c r="L60" s="105" t="inlineStr">
        <is>
          <t>FEV</t>
        </is>
      </c>
      <c r="M60" s="105" t="inlineStr">
        <is>
          <t>QUENTE</t>
        </is>
      </c>
    </row>
    <row r="61" ht="15" customHeight="1" s="49">
      <c r="A61" s="105" t="inlineStr">
        <is>
          <t>DIMAS</t>
        </is>
      </c>
      <c r="B61" s="105" t="inlineStr">
        <is>
          <t>Teresina e Mato Grosso do Sul</t>
        </is>
      </c>
      <c r="C61" s="106" t="n"/>
      <c r="D61" s="105" t="inlineStr">
        <is>
          <t>CAMPOS PAVANI DE MACAE COMERCIO LTDA</t>
        </is>
      </c>
      <c r="E61" s="105" t="inlineStr">
        <is>
          <t xml:space="preserve">PREVIDENCIARIO </t>
        </is>
      </c>
      <c r="F61" s="105" t="inlineStr">
        <is>
          <t>UPSELL</t>
        </is>
      </c>
      <c r="G61" s="83" t="n">
        <v>1425136.22</v>
      </c>
      <c r="H61" s="107" t="n">
        <v>0.2</v>
      </c>
      <c r="I61" s="83" t="n">
        <v>285027.24</v>
      </c>
      <c r="J61" s="105" t="inlineStr">
        <is>
          <t>ASSINADO</t>
        </is>
      </c>
      <c r="K61" s="105" t="inlineStr">
        <is>
          <t>FEV</t>
        </is>
      </c>
      <c r="L61" s="105" t="inlineStr">
        <is>
          <t>MAR</t>
        </is>
      </c>
      <c r="M61" s="105" t="inlineStr">
        <is>
          <t>QUENTE</t>
        </is>
      </c>
    </row>
    <row r="62" ht="15" customHeight="1" s="49">
      <c r="A62" s="105" t="inlineStr">
        <is>
          <t>DIMAS</t>
        </is>
      </c>
      <c r="B62" s="105" t="inlineStr">
        <is>
          <t>Teresina e Mato Grosso do Sul</t>
        </is>
      </c>
      <c r="C62" s="106" t="n"/>
      <c r="D62" s="105" t="inlineStr">
        <is>
          <t>FERREIRA COM. VAREJISTA DE MERCADORIAS LTDA</t>
        </is>
      </c>
      <c r="E62" s="105" t="inlineStr">
        <is>
          <t>IRPJ E CSLL</t>
        </is>
      </c>
      <c r="F62" s="105" t="inlineStr">
        <is>
          <t>NOVO</t>
        </is>
      </c>
      <c r="G62" s="83" t="n">
        <v>112148</v>
      </c>
      <c r="H62" s="107" t="n">
        <v>0.2</v>
      </c>
      <c r="I62" s="83" t="n">
        <v>22429.6</v>
      </c>
      <c r="J62" s="105" t="inlineStr">
        <is>
          <t>BASE</t>
        </is>
      </c>
      <c r="K62" s="105" t="inlineStr">
        <is>
          <t>MAR</t>
        </is>
      </c>
      <c r="L62" s="105" t="inlineStr">
        <is>
          <t>MAR</t>
        </is>
      </c>
      <c r="M62" s="105" t="inlineStr">
        <is>
          <t>QUENTE</t>
        </is>
      </c>
    </row>
    <row r="63" ht="15" customHeight="1" s="49">
      <c r="A63" s="105" t="inlineStr">
        <is>
          <t>DIMAS</t>
        </is>
      </c>
      <c r="B63" s="105" t="inlineStr">
        <is>
          <t>Teresina e Mato Grosso do Sul</t>
        </is>
      </c>
      <c r="C63" s="106" t="n"/>
      <c r="D63" s="105" t="inlineStr">
        <is>
          <t>SUPERMERCADO GOMES LTDA</t>
        </is>
      </c>
      <c r="E63" s="105" t="inlineStr">
        <is>
          <t>IRPJ E CSLL</t>
        </is>
      </c>
      <c r="F63" s="105" t="inlineStr">
        <is>
          <t>NOVO</t>
        </is>
      </c>
      <c r="G63" s="83" t="n">
        <v>623769</v>
      </c>
      <c r="H63" s="107" t="n">
        <v>0.2</v>
      </c>
      <c r="I63" s="83" t="n">
        <v>124753.8</v>
      </c>
      <c r="J63" s="105" t="inlineStr">
        <is>
          <t>BASE</t>
        </is>
      </c>
      <c r="K63" s="105" t="inlineStr">
        <is>
          <t>ABR</t>
        </is>
      </c>
      <c r="L63" s="105" t="n"/>
      <c r="M63" s="105" t="inlineStr">
        <is>
          <t>QUENTE</t>
        </is>
      </c>
    </row>
    <row r="64" ht="15" customHeight="1" s="49">
      <c r="A64" s="105" t="inlineStr">
        <is>
          <t>DIMAS</t>
        </is>
      </c>
      <c r="B64" s="105" t="inlineStr">
        <is>
          <t>Teresina e Mato Grosso do Sul</t>
        </is>
      </c>
      <c r="C64" s="106" t="n"/>
      <c r="D64" s="105" t="inlineStr">
        <is>
          <t>SUPERMERCADO GOMES LTDA</t>
        </is>
      </c>
      <c r="E64" s="105" t="inlineStr">
        <is>
          <t>PIS E COFINS</t>
        </is>
      </c>
      <c r="F64" s="105" t="inlineStr">
        <is>
          <t>NOVO</t>
        </is>
      </c>
      <c r="G64" s="83" t="n">
        <v>432079</v>
      </c>
      <c r="H64" s="107" t="n">
        <v>0.2</v>
      </c>
      <c r="I64" s="83" t="n">
        <v>86415.8</v>
      </c>
      <c r="J64" s="105" t="inlineStr">
        <is>
          <t>BASE</t>
        </is>
      </c>
      <c r="K64" s="105" t="inlineStr">
        <is>
          <t>ABR</t>
        </is>
      </c>
      <c r="L64" s="105" t="n"/>
      <c r="M64" s="105" t="inlineStr">
        <is>
          <t>QUENTE</t>
        </is>
      </c>
    </row>
    <row r="65" ht="15" customHeight="1" s="49">
      <c r="A65" s="105" t="inlineStr">
        <is>
          <t>DIMAS</t>
        </is>
      </c>
      <c r="B65" s="105" t="inlineStr">
        <is>
          <t>Teresina e Mato Grosso do Sul</t>
        </is>
      </c>
      <c r="C65" s="106" t="n"/>
      <c r="D65" s="105" t="inlineStr">
        <is>
          <t>CAMPOS PAVANI DE MACAE COMERCIO LTDA</t>
        </is>
      </c>
      <c r="E65" s="105" t="inlineStr">
        <is>
          <t>PIS COFINS</t>
        </is>
      </c>
      <c r="F65" s="105" t="inlineStr">
        <is>
          <t>NOVO</t>
        </is>
      </c>
      <c r="G65" s="83" t="n">
        <v>1007202</v>
      </c>
      <c r="H65" s="107" t="n">
        <v>0.15</v>
      </c>
      <c r="I65" s="83" t="n">
        <v>151080.3</v>
      </c>
      <c r="J65" s="105" t="inlineStr">
        <is>
          <t>ASSINADO</t>
        </is>
      </c>
      <c r="K65" s="105" t="inlineStr">
        <is>
          <t>FEV</t>
        </is>
      </c>
      <c r="L65" s="105" t="inlineStr">
        <is>
          <t>MAR</t>
        </is>
      </c>
      <c r="M65" s="105" t="inlineStr">
        <is>
          <t>QUENTE</t>
        </is>
      </c>
    </row>
    <row r="66" ht="15" customHeight="1" s="49">
      <c r="A66" s="105" t="inlineStr">
        <is>
          <t>DIMAS</t>
        </is>
      </c>
      <c r="B66" s="105" t="inlineStr">
        <is>
          <t>Teresina e Mato Grosso do Sul</t>
        </is>
      </c>
      <c r="C66" s="106" t="n"/>
      <c r="D66" s="105" t="inlineStr">
        <is>
          <t>CAMPOS PAVANI DE MACAE COMERCIO LTDA</t>
        </is>
      </c>
      <c r="E66" s="105" t="inlineStr">
        <is>
          <t>EXCLUSAO DO ICMST propio base PIS e COFINS</t>
        </is>
      </c>
      <c r="F66" s="105" t="inlineStr">
        <is>
          <t>NOVO</t>
        </is>
      </c>
      <c r="G66" s="83" t="n">
        <v>3149900</v>
      </c>
      <c r="H66" s="107" t="n">
        <v>0.06</v>
      </c>
      <c r="I66" s="83" t="n">
        <v>188994</v>
      </c>
      <c r="J66" s="105" t="inlineStr">
        <is>
          <t>ASSINADO</t>
        </is>
      </c>
      <c r="K66" s="105" t="inlineStr">
        <is>
          <t>FEV</t>
        </is>
      </c>
      <c r="L66" s="105" t="inlineStr">
        <is>
          <t>MAR</t>
        </is>
      </c>
      <c r="M66" s="105" t="inlineStr">
        <is>
          <t>QUENTE</t>
        </is>
      </c>
    </row>
    <row r="67" ht="15" customHeight="1" s="49">
      <c r="A67" s="105" t="inlineStr">
        <is>
          <t>DIMAS</t>
        </is>
      </c>
      <c r="B67" s="105" t="inlineStr">
        <is>
          <t>Teresina e Mato Grosso do Sul</t>
        </is>
      </c>
      <c r="C67" s="106" t="n"/>
      <c r="D67" s="105" t="inlineStr">
        <is>
          <t>CAMPOS PAVANI DE MACAE COMERCIO LTDA</t>
        </is>
      </c>
      <c r="E67" s="105" t="inlineStr">
        <is>
          <t>IRPJ E CSLL -DEDUÇÃO JCP</t>
        </is>
      </c>
      <c r="F67" s="105" t="inlineStr">
        <is>
          <t>NOVO</t>
        </is>
      </c>
      <c r="G67" s="83" t="n">
        <v>534889</v>
      </c>
      <c r="H67" s="107" t="n">
        <v>0.15</v>
      </c>
      <c r="I67" s="83" t="n">
        <v>80233.35000000001</v>
      </c>
      <c r="J67" s="105" t="inlineStr">
        <is>
          <t>ASSINADO</t>
        </is>
      </c>
      <c r="K67" s="105" t="inlineStr">
        <is>
          <t>FEV</t>
        </is>
      </c>
      <c r="L67" s="105" t="inlineStr">
        <is>
          <t>MAR</t>
        </is>
      </c>
      <c r="M67" s="105" t="inlineStr">
        <is>
          <t>QUENTE</t>
        </is>
      </c>
    </row>
    <row r="68" ht="15" customHeight="1" s="49">
      <c r="A68" s="105" t="inlineStr">
        <is>
          <t>DIMAS</t>
        </is>
      </c>
      <c r="B68" s="105" t="inlineStr">
        <is>
          <t>Teresina e Mato Grosso do Sul</t>
        </is>
      </c>
      <c r="C68" s="106" t="n"/>
      <c r="D68" s="105" t="inlineStr">
        <is>
          <t>CAMPOS PAVANI DE MACAE COMERCIO LTDA</t>
        </is>
      </c>
      <c r="E68" s="105" t="inlineStr">
        <is>
          <t>SUBV IRPJ CSLL EFEITO CAIXA</t>
        </is>
      </c>
      <c r="F68" s="105" t="inlineStr">
        <is>
          <t>NOVO</t>
        </is>
      </c>
      <c r="G68" s="83" t="n">
        <v>5678107</v>
      </c>
      <c r="H68" s="107" t="n">
        <v>0.06</v>
      </c>
      <c r="I68" s="83" t="n">
        <v>340686.42</v>
      </c>
      <c r="J68" s="105" t="inlineStr">
        <is>
          <t>ASSINADO</t>
        </is>
      </c>
      <c r="K68" s="105" t="inlineStr">
        <is>
          <t>FEV</t>
        </is>
      </c>
      <c r="L68" s="105" t="inlineStr">
        <is>
          <t>MAR</t>
        </is>
      </c>
      <c r="M68" s="105" t="inlineStr">
        <is>
          <t>QUENTE</t>
        </is>
      </c>
    </row>
    <row r="69" ht="15" customHeight="1" s="49">
      <c r="A69" s="105" t="inlineStr">
        <is>
          <t>DIMAS</t>
        </is>
      </c>
      <c r="B69" s="105" t="inlineStr">
        <is>
          <t>Teresina e Mato Grosso do Sul</t>
        </is>
      </c>
      <c r="C69" s="106" t="n"/>
      <c r="D69" s="105" t="inlineStr">
        <is>
          <t>CAMPOS PAVANI DE MACAE COMERCIO LTDA</t>
        </is>
      </c>
      <c r="E69" s="105" t="inlineStr">
        <is>
          <t>PREVIDENCIARIO</t>
        </is>
      </c>
      <c r="F69" s="105" t="inlineStr">
        <is>
          <t>UPSELL</t>
        </is>
      </c>
      <c r="G69" s="83" t="n">
        <v>1425136.22</v>
      </c>
      <c r="H69" s="107" t="n">
        <v>0.15</v>
      </c>
      <c r="I69" s="83" t="n">
        <v>213770.43</v>
      </c>
      <c r="J69" s="105" t="inlineStr">
        <is>
          <t>ASSINADO</t>
        </is>
      </c>
      <c r="K69" s="105" t="inlineStr">
        <is>
          <t>FEV</t>
        </is>
      </c>
      <c r="L69" s="105" t="inlineStr">
        <is>
          <t>MAR</t>
        </is>
      </c>
      <c r="M69" s="105" t="inlineStr">
        <is>
          <t>QUENTE</t>
        </is>
      </c>
    </row>
    <row r="70" ht="15" customHeight="1" s="49">
      <c r="A70" s="105" t="inlineStr">
        <is>
          <t>DIMAS</t>
        </is>
      </c>
      <c r="B70" s="105" t="inlineStr">
        <is>
          <t>Teresina e Mato Grosso do Sul</t>
        </is>
      </c>
      <c r="C70" s="106" t="n"/>
      <c r="D70" s="105" t="inlineStr">
        <is>
          <t xml:space="preserve">A M DE MATOS </t>
        </is>
      </c>
      <c r="E70" s="105" t="inlineStr">
        <is>
          <t>PIS E COFINS</t>
        </is>
      </c>
      <c r="F70" s="105" t="inlineStr">
        <is>
          <t>NOVO</t>
        </is>
      </c>
      <c r="G70" s="83" t="n">
        <v>366697</v>
      </c>
      <c r="H70" s="107" t="n">
        <v>0.2</v>
      </c>
      <c r="I70" s="83" t="n">
        <v>73339.39999999999</v>
      </c>
      <c r="J70" s="105" t="inlineStr">
        <is>
          <t>BASE</t>
        </is>
      </c>
      <c r="K70" s="105" t="inlineStr">
        <is>
          <t>ABR</t>
        </is>
      </c>
      <c r="L70" s="105" t="n"/>
      <c r="M70" s="105" t="n"/>
    </row>
    <row r="71" ht="15" customHeight="1" s="49">
      <c r="A71" s="105" t="inlineStr">
        <is>
          <t>DIMAS</t>
        </is>
      </c>
      <c r="B71" s="105" t="inlineStr">
        <is>
          <t>Teresina e Mato Grosso do Sul</t>
        </is>
      </c>
      <c r="C71" s="106" t="n"/>
      <c r="D71" s="105" t="inlineStr">
        <is>
          <t xml:space="preserve">A M DE MATOS </t>
        </is>
      </c>
      <c r="E71" s="105" t="inlineStr">
        <is>
          <t>EXCLUSAO DA BASE ICMS ST DA BASE PIS E CONFINS</t>
        </is>
      </c>
      <c r="F71" s="105" t="inlineStr">
        <is>
          <t>NOVO</t>
        </is>
      </c>
      <c r="G71" s="83" t="n">
        <v>167223</v>
      </c>
      <c r="H71" s="107" t="n">
        <v>0.2</v>
      </c>
      <c r="I71" s="83" t="n">
        <v>33444.6</v>
      </c>
      <c r="J71" s="105" t="inlineStr">
        <is>
          <t>BASE</t>
        </is>
      </c>
      <c r="K71" s="105" t="inlineStr">
        <is>
          <t>ABR</t>
        </is>
      </c>
      <c r="L71" s="105" t="n"/>
      <c r="M71" s="105" t="n"/>
    </row>
    <row r="72" ht="15" customHeight="1" s="49">
      <c r="A72" s="105" t="inlineStr">
        <is>
          <t>DIMAS</t>
        </is>
      </c>
      <c r="B72" s="105" t="inlineStr">
        <is>
          <t>Teresina e Mato Grosso do Sul</t>
        </is>
      </c>
      <c r="C72" s="106" t="n"/>
      <c r="D72" s="105" t="inlineStr">
        <is>
          <t>ELIZEU MARTINS SUPERMERCADOS LTDA</t>
        </is>
      </c>
      <c r="E72" s="105" t="inlineStr">
        <is>
          <t>EXCLUSAO DA BASE ICMS ST DA BASE PIS E CONFINS</t>
        </is>
      </c>
      <c r="F72" s="105" t="inlineStr">
        <is>
          <t>NOVO</t>
        </is>
      </c>
      <c r="G72" s="83" t="n">
        <v>3217637</v>
      </c>
      <c r="H72" s="107" t="n">
        <v>0.2</v>
      </c>
      <c r="I72" s="83" t="n">
        <v>643527.4</v>
      </c>
      <c r="J72" s="105" t="inlineStr">
        <is>
          <t>BASE</t>
        </is>
      </c>
      <c r="K72" s="105" t="inlineStr">
        <is>
          <t>ABR</t>
        </is>
      </c>
      <c r="L72" s="105" t="n"/>
      <c r="M72" s="105" t="n"/>
    </row>
    <row r="73" ht="15" customHeight="1" s="49">
      <c r="A73" s="105" t="inlineStr">
        <is>
          <t>DIMAS</t>
        </is>
      </c>
      <c r="B73" s="105" t="inlineStr">
        <is>
          <t>Teresina e Mato Grosso do Sul</t>
        </is>
      </c>
      <c r="C73" s="106" t="n"/>
      <c r="D73" s="105" t="inlineStr">
        <is>
          <t>ELIZEU MARTINS SUPERMERCADOS LTDA</t>
        </is>
      </c>
      <c r="E73" s="105" t="inlineStr">
        <is>
          <t>PIS E COFINS</t>
        </is>
      </c>
      <c r="F73" s="105" t="inlineStr">
        <is>
          <t>NOVO</t>
        </is>
      </c>
      <c r="G73" s="83" t="n">
        <v>1355961</v>
      </c>
      <c r="H73" s="107" t="n">
        <v>0.2</v>
      </c>
      <c r="I73" s="83" t="n">
        <v>271192.2</v>
      </c>
      <c r="J73" s="105" t="inlineStr">
        <is>
          <t>BASE</t>
        </is>
      </c>
      <c r="K73" s="105" t="inlineStr">
        <is>
          <t>ABR</t>
        </is>
      </c>
      <c r="L73" s="105" t="n"/>
      <c r="M73" s="105" t="n"/>
    </row>
    <row r="74" ht="15" customHeight="1" s="49">
      <c r="A74" s="105" t="inlineStr">
        <is>
          <t>DIMAS</t>
        </is>
      </c>
      <c r="B74" s="105" t="inlineStr">
        <is>
          <t>Teresina e Mato Grosso do Sul</t>
        </is>
      </c>
      <c r="C74" s="106" t="n"/>
      <c r="D74" s="105" t="inlineStr">
        <is>
          <t>CAMPO VERDE ATACADO E SUPERMERCADO LTDA</t>
        </is>
      </c>
      <c r="E74" s="105" t="inlineStr">
        <is>
          <t>IRPJ E CSLL</t>
        </is>
      </c>
      <c r="F74" s="105" t="inlineStr">
        <is>
          <t>NOVO</t>
        </is>
      </c>
      <c r="G74" s="83" t="n">
        <v>1259013</v>
      </c>
      <c r="H74" s="107" t="n">
        <v>0.2</v>
      </c>
      <c r="I74" s="83" t="n">
        <v>251802.6</v>
      </c>
      <c r="J74" s="105" t="inlineStr">
        <is>
          <t>BASE</t>
        </is>
      </c>
      <c r="K74" s="105" t="inlineStr">
        <is>
          <t>ABR</t>
        </is>
      </c>
      <c r="L74" s="105" t="n"/>
      <c r="M74" s="105" t="n"/>
    </row>
    <row r="75" ht="15" customHeight="1" s="49">
      <c r="A75" s="105" t="inlineStr">
        <is>
          <t>HEITOR</t>
        </is>
      </c>
      <c r="B75" s="105" t="inlineStr">
        <is>
          <t>Campinas</t>
        </is>
      </c>
      <c r="C75" s="106" t="n"/>
      <c r="D75" s="105" t="inlineStr">
        <is>
          <t>SYNCO</t>
        </is>
      </c>
      <c r="E75" s="105" t="inlineStr">
        <is>
          <t>PIS E COFINS INSUMOS</t>
        </is>
      </c>
      <c r="F75" s="105" t="inlineStr">
        <is>
          <t>NOVO</t>
        </is>
      </c>
      <c r="G75" s="83" t="n">
        <v>151027</v>
      </c>
      <c r="H75" s="107" t="n">
        <v>0.2</v>
      </c>
      <c r="I75" s="83" t="n">
        <v>30205.4</v>
      </c>
      <c r="J75" s="105" t="inlineStr">
        <is>
          <t>BASE</t>
        </is>
      </c>
      <c r="K75" s="105" t="inlineStr">
        <is>
          <t>DEZ</t>
        </is>
      </c>
      <c r="L75" s="105" t="n"/>
      <c r="M75" s="105" t="inlineStr">
        <is>
          <t>FRIO</t>
        </is>
      </c>
    </row>
    <row r="76" ht="15" customHeight="1" s="49">
      <c r="A76" s="105" t="inlineStr">
        <is>
          <t>HEITOR</t>
        </is>
      </c>
      <c r="B76" s="105" t="inlineStr">
        <is>
          <t>Campinas</t>
        </is>
      </c>
      <c r="C76" s="106" t="n"/>
      <c r="D76" s="105" t="inlineStr">
        <is>
          <t>SYNCO</t>
        </is>
      </c>
      <c r="E76" s="105" t="inlineStr">
        <is>
          <t>IRPJ E CSLL -DEDUÇÃO JCP</t>
        </is>
      </c>
      <c r="F76" s="105" t="inlineStr">
        <is>
          <t>NOVO</t>
        </is>
      </c>
      <c r="G76" s="83" t="n">
        <v>568077</v>
      </c>
      <c r="H76" s="107" t="n">
        <v>0.2</v>
      </c>
      <c r="I76" s="83" t="n">
        <v>113615.4</v>
      </c>
      <c r="J76" s="105" t="inlineStr">
        <is>
          <t>BASE</t>
        </is>
      </c>
      <c r="K76" s="105" t="inlineStr">
        <is>
          <t>DEZ</t>
        </is>
      </c>
      <c r="L76" s="105" t="n"/>
      <c r="M76" s="105" t="inlineStr">
        <is>
          <t>FRIO</t>
        </is>
      </c>
    </row>
    <row r="77" ht="15" customHeight="1" s="49">
      <c r="A77" s="105" t="inlineStr">
        <is>
          <t>DIMAS</t>
        </is>
      </c>
      <c r="B77" s="105" t="inlineStr">
        <is>
          <t>Teresina e Mato Grosso do Sul</t>
        </is>
      </c>
      <c r="C77" s="106" t="n"/>
      <c r="D77" s="105" t="inlineStr">
        <is>
          <t>ARY SERENA &amp; CIA LTDA</t>
        </is>
      </c>
      <c r="E77" s="105" t="inlineStr">
        <is>
          <t>PREVIDENCIARIO</t>
        </is>
      </c>
      <c r="F77" s="105" t="inlineStr">
        <is>
          <t>UPSELL</t>
        </is>
      </c>
      <c r="G77" s="83" t="n">
        <v>155581.57</v>
      </c>
      <c r="H77" s="107" t="n">
        <v>0.2</v>
      </c>
      <c r="I77" s="83" t="n">
        <v>31116.31</v>
      </c>
      <c r="J77" s="105" t="inlineStr">
        <is>
          <t>ASSINADO</t>
        </is>
      </c>
      <c r="K77" s="105" t="inlineStr">
        <is>
          <t>FEV</t>
        </is>
      </c>
      <c r="L77" s="105" t="inlineStr">
        <is>
          <t>FEV</t>
        </is>
      </c>
      <c r="M77" s="105" t="inlineStr">
        <is>
          <t>QUENTE</t>
        </is>
      </c>
    </row>
    <row r="78" ht="15" customHeight="1" s="49">
      <c r="A78" s="105" t="inlineStr">
        <is>
          <t>DIMAS</t>
        </is>
      </c>
      <c r="B78" s="105" t="inlineStr">
        <is>
          <t>Teresina e Mato Grosso do Sul</t>
        </is>
      </c>
      <c r="C78" s="106" t="n"/>
      <c r="D78" s="105" t="inlineStr">
        <is>
          <t>JORGE &amp; BATISTA &amp; CIA</t>
        </is>
      </c>
      <c r="E78" s="105" t="inlineStr">
        <is>
          <t>PREVIDENCIARIO</t>
        </is>
      </c>
      <c r="F78" s="105" t="inlineStr">
        <is>
          <t>UPSELL</t>
        </is>
      </c>
      <c r="G78" s="83" t="n">
        <v>1986080.59</v>
      </c>
      <c r="H78" s="107" t="n">
        <v>0.3</v>
      </c>
      <c r="I78" s="83" t="n">
        <v>595824.1800000001</v>
      </c>
      <c r="J78" s="105" t="inlineStr">
        <is>
          <t>BASE</t>
        </is>
      </c>
      <c r="K78" s="105" t="inlineStr">
        <is>
          <t>FEV</t>
        </is>
      </c>
      <c r="L78" s="105" t="inlineStr">
        <is>
          <t>FEV</t>
        </is>
      </c>
      <c r="M78" s="105" t="inlineStr">
        <is>
          <t>QUENTE</t>
        </is>
      </c>
    </row>
    <row r="79" ht="15" customHeight="1" s="49">
      <c r="A79" s="105" t="inlineStr">
        <is>
          <t>HEITOR</t>
        </is>
      </c>
      <c r="B79" s="105" t="inlineStr">
        <is>
          <t>Campinas</t>
        </is>
      </c>
      <c r="C79" s="106" t="n"/>
      <c r="D79" s="105" t="inlineStr">
        <is>
          <t>SANTA CAROLINA</t>
        </is>
      </c>
      <c r="E79" s="105" t="inlineStr">
        <is>
          <t>PIS E COFINS</t>
        </is>
      </c>
      <c r="F79" s="105" t="inlineStr">
        <is>
          <t>NOVO</t>
        </is>
      </c>
      <c r="G79" s="83" t="n">
        <v>43237</v>
      </c>
      <c r="H79" s="107" t="n">
        <v>0.3</v>
      </c>
      <c r="I79" s="83" t="n">
        <v>12971.1</v>
      </c>
      <c r="J79" s="105" t="inlineStr">
        <is>
          <t>ASSINADO</t>
        </is>
      </c>
      <c r="K79" s="105" t="inlineStr">
        <is>
          <t>DEZ</t>
        </is>
      </c>
      <c r="L79" s="105" t="inlineStr">
        <is>
          <t>DEZ</t>
        </is>
      </c>
      <c r="M79" s="105" t="inlineStr">
        <is>
          <t>QUENTE</t>
        </is>
      </c>
    </row>
    <row r="80" ht="15" customHeight="1" s="49">
      <c r="A80" s="105" t="inlineStr">
        <is>
          <t>DIMAS</t>
        </is>
      </c>
      <c r="B80" s="105" t="inlineStr">
        <is>
          <t>Teresina e Mato Grosso do Sul</t>
        </is>
      </c>
      <c r="C80" s="106" t="n"/>
      <c r="D80" s="105" t="inlineStr">
        <is>
          <t>M S DIAGNOSTICO LTDA</t>
        </is>
      </c>
      <c r="E80" s="105" t="inlineStr">
        <is>
          <t>PREVIDENCIARIO</t>
        </is>
      </c>
      <c r="F80" s="105" t="inlineStr">
        <is>
          <t>UPSELL</t>
        </is>
      </c>
      <c r="G80" s="83" t="n">
        <v>2017549.08</v>
      </c>
      <c r="H80" s="107" t="n">
        <v>0.2</v>
      </c>
      <c r="I80" s="83" t="n">
        <v>403509.82</v>
      </c>
      <c r="J80" s="105" t="inlineStr">
        <is>
          <t>BASE</t>
        </is>
      </c>
      <c r="K80" s="105" t="inlineStr">
        <is>
          <t>FEV</t>
        </is>
      </c>
      <c r="L80" s="105" t="n"/>
      <c r="M80" s="105" t="inlineStr">
        <is>
          <t>MORNO</t>
        </is>
      </c>
    </row>
    <row r="81" ht="15" customHeight="1" s="49">
      <c r="A81" s="105" t="inlineStr">
        <is>
          <t>HEITOR</t>
        </is>
      </c>
      <c r="B81" s="105" t="inlineStr">
        <is>
          <t>Campinas</t>
        </is>
      </c>
      <c r="C81" s="106" t="n"/>
      <c r="D81" s="105" t="inlineStr">
        <is>
          <t>PARIMA DISTRIBUIDORA LTDA</t>
        </is>
      </c>
      <c r="E81" s="105" t="inlineStr">
        <is>
          <t>IRPJ E CSLL</t>
        </is>
      </c>
      <c r="F81" s="105" t="inlineStr">
        <is>
          <t>NOVO</t>
        </is>
      </c>
      <c r="G81" s="83" t="n">
        <v>663627</v>
      </c>
      <c r="H81" s="107" t="n">
        <v>0.2</v>
      </c>
      <c r="I81" s="83" t="n">
        <v>132725.4</v>
      </c>
      <c r="J81" s="105" t="inlineStr">
        <is>
          <t>STANDBY</t>
        </is>
      </c>
      <c r="K81" s="105" t="inlineStr">
        <is>
          <t>JAN</t>
        </is>
      </c>
      <c r="L81" s="105" t="n"/>
      <c r="M81" s="105" t="inlineStr">
        <is>
          <t>FRIO</t>
        </is>
      </c>
    </row>
    <row r="82" ht="15" customHeight="1" s="49">
      <c r="A82" s="105" t="inlineStr">
        <is>
          <t>HEITOR</t>
        </is>
      </c>
      <c r="B82" s="105" t="inlineStr">
        <is>
          <t>Campinas</t>
        </is>
      </c>
      <c r="C82" s="106" t="n"/>
      <c r="D82" s="105" t="inlineStr">
        <is>
          <t>PARIMA DISTRIBUIDORA LTDA</t>
        </is>
      </c>
      <c r="E82" s="105" t="inlineStr">
        <is>
          <t>EXCLUSAO DA BASE ICMS ST DA BASE PIS E CONFINS</t>
        </is>
      </c>
      <c r="F82" s="105" t="inlineStr">
        <is>
          <t>NOVO</t>
        </is>
      </c>
      <c r="G82" s="83" t="n">
        <v>232198</v>
      </c>
      <c r="H82" s="107" t="n">
        <v>0.2</v>
      </c>
      <c r="I82" s="83" t="n">
        <v>46439.6</v>
      </c>
      <c r="J82" s="105" t="inlineStr">
        <is>
          <t>STANDBY</t>
        </is>
      </c>
      <c r="K82" s="105" t="inlineStr">
        <is>
          <t>JAN</t>
        </is>
      </c>
      <c r="L82" s="105" t="n"/>
      <c r="M82" s="105" t="inlineStr">
        <is>
          <t>FRIO</t>
        </is>
      </c>
    </row>
    <row r="83" ht="15" customHeight="1" s="49">
      <c r="A83" s="105" t="inlineStr">
        <is>
          <t>HEITOR</t>
        </is>
      </c>
      <c r="B83" s="105" t="inlineStr">
        <is>
          <t>Campinas</t>
        </is>
      </c>
      <c r="C83" s="106" t="n"/>
      <c r="D83" s="105" t="inlineStr">
        <is>
          <t>PARIMA DISTRIBUIDORA LTDA</t>
        </is>
      </c>
      <c r="E83" s="105" t="inlineStr">
        <is>
          <t>PID E CONFINS INSUMOS</t>
        </is>
      </c>
      <c r="F83" s="105" t="inlineStr">
        <is>
          <t>NOVO</t>
        </is>
      </c>
      <c r="G83" s="83" t="n">
        <v>121916</v>
      </c>
      <c r="H83" s="107" t="n">
        <v>0.2</v>
      </c>
      <c r="I83" s="83" t="n">
        <v>24383.2</v>
      </c>
      <c r="J83" s="105" t="inlineStr">
        <is>
          <t>STANDBY</t>
        </is>
      </c>
      <c r="K83" s="105" t="inlineStr">
        <is>
          <t>JAN</t>
        </is>
      </c>
      <c r="L83" s="105" t="n"/>
      <c r="M83" s="105" t="inlineStr">
        <is>
          <t>FRIO</t>
        </is>
      </c>
    </row>
    <row r="84" ht="15" customHeight="1" s="49">
      <c r="A84" s="105" t="inlineStr">
        <is>
          <t>HEITOR</t>
        </is>
      </c>
      <c r="B84" s="105" t="inlineStr">
        <is>
          <t>Campinas</t>
        </is>
      </c>
      <c r="C84" s="106" t="n"/>
      <c r="D84" s="105" t="inlineStr">
        <is>
          <t>SANTA CAROLINA</t>
        </is>
      </c>
      <c r="E84" s="105" t="inlineStr">
        <is>
          <t>EXCLUSÃO ICMS ST BASE PIS COFINS</t>
        </is>
      </c>
      <c r="F84" s="105" t="inlineStr">
        <is>
          <t>NOVO</t>
        </is>
      </c>
      <c r="G84" s="83" t="n">
        <v>30628</v>
      </c>
      <c r="H84" s="107" t="n">
        <v>0.3</v>
      </c>
      <c r="I84" s="83" t="n">
        <v>9188.4</v>
      </c>
      <c r="J84" s="105" t="inlineStr">
        <is>
          <t>ASSINADO</t>
        </is>
      </c>
      <c r="K84" s="105" t="inlineStr">
        <is>
          <t>DEZ</t>
        </is>
      </c>
      <c r="L84" s="105" t="inlineStr">
        <is>
          <t>DEZ</t>
        </is>
      </c>
      <c r="M84" s="105" t="inlineStr">
        <is>
          <t>QUENTE</t>
        </is>
      </c>
    </row>
    <row r="85" ht="15" customHeight="1" s="49">
      <c r="A85" s="105" t="inlineStr">
        <is>
          <t>HEITOR</t>
        </is>
      </c>
      <c r="B85" s="105" t="inlineStr">
        <is>
          <t>Campinas</t>
        </is>
      </c>
      <c r="C85" s="106" t="n"/>
      <c r="D85" s="105" t="inlineStr">
        <is>
          <t>SANTA CRUZ INDUSTRIA E COMERCIO DE CAFE LTDA</t>
        </is>
      </c>
      <c r="E85" s="105" t="inlineStr">
        <is>
          <t>SUBV IRPJ CSLL- ICMS</t>
        </is>
      </c>
      <c r="F85" s="105" t="inlineStr">
        <is>
          <t>NOVO</t>
        </is>
      </c>
      <c r="G85" s="83" t="n">
        <v>416198</v>
      </c>
      <c r="H85" s="107" t="n">
        <v>0.2</v>
      </c>
      <c r="I85" s="83" t="n">
        <v>83239.60000000001</v>
      </c>
      <c r="J85" s="105" t="inlineStr">
        <is>
          <t>STANDBY</t>
        </is>
      </c>
      <c r="K85" s="105" t="inlineStr">
        <is>
          <t>JAN</t>
        </is>
      </c>
      <c r="L85" s="105" t="n"/>
      <c r="M85" s="105" t="inlineStr">
        <is>
          <t>QUENTE</t>
        </is>
      </c>
    </row>
    <row r="86" ht="15" customHeight="1" s="49">
      <c r="A86" s="105" t="inlineStr">
        <is>
          <t>HEITOR</t>
        </is>
      </c>
      <c r="B86" s="105" t="inlineStr">
        <is>
          <t>Campinas</t>
        </is>
      </c>
      <c r="C86" s="106" t="n"/>
      <c r="D86" s="105" t="inlineStr">
        <is>
          <t>SANTA CRUZ INDUSTRIA E COMERCIO DE CAFE LTDA</t>
        </is>
      </c>
      <c r="E86" s="105" t="inlineStr">
        <is>
          <t>IRPJ CSLL - DEDUÇÃO JCP</t>
        </is>
      </c>
      <c r="F86" s="105" t="inlineStr">
        <is>
          <t>NOVO</t>
        </is>
      </c>
      <c r="G86" s="83" t="n">
        <v>156717</v>
      </c>
      <c r="H86" s="107" t="n">
        <v>0.2</v>
      </c>
      <c r="I86" s="83" t="n">
        <v>31343.4</v>
      </c>
      <c r="J86" s="105" t="inlineStr">
        <is>
          <t>STANDBY</t>
        </is>
      </c>
      <c r="K86" s="105" t="inlineStr">
        <is>
          <t>JAN</t>
        </is>
      </c>
      <c r="L86" s="105" t="n"/>
      <c r="M86" s="105" t="inlineStr">
        <is>
          <t>QUENTE</t>
        </is>
      </c>
    </row>
    <row r="87" ht="15" customHeight="1" s="49">
      <c r="A87" s="105" t="inlineStr">
        <is>
          <t>HEITOR</t>
        </is>
      </c>
      <c r="B87" s="105" t="inlineStr">
        <is>
          <t>Campinas</t>
        </is>
      </c>
      <c r="C87" s="106" t="n"/>
      <c r="D87" s="105" t="inlineStr">
        <is>
          <t>SUPERMERCADO M H LTDA</t>
        </is>
      </c>
      <c r="E87" s="105" t="inlineStr">
        <is>
          <t xml:space="preserve">PREVIDENCIARIO </t>
        </is>
      </c>
      <c r="F87" s="105" t="inlineStr">
        <is>
          <t>NOVO</t>
        </is>
      </c>
      <c r="G87" s="83" t="n"/>
      <c r="H87" s="107" t="n">
        <v>0.2</v>
      </c>
      <c r="I87" s="83" t="n">
        <v>0</v>
      </c>
      <c r="J87" s="105" t="inlineStr">
        <is>
          <t>BASE</t>
        </is>
      </c>
      <c r="K87" s="105" t="inlineStr">
        <is>
          <t>JAN</t>
        </is>
      </c>
      <c r="L87" s="105" t="n"/>
      <c r="M87" s="105" t="inlineStr">
        <is>
          <t>MORNO</t>
        </is>
      </c>
    </row>
    <row r="88" ht="15" customHeight="1" s="49">
      <c r="A88" s="105" t="inlineStr">
        <is>
          <t>HEITOR</t>
        </is>
      </c>
      <c r="B88" s="105" t="inlineStr">
        <is>
          <t>Campinas</t>
        </is>
      </c>
      <c r="C88" s="106" t="n"/>
      <c r="D88" s="105" t="inlineStr">
        <is>
          <t>SUPERMERCADO M H LTDA</t>
        </is>
      </c>
      <c r="E88" s="105" t="inlineStr">
        <is>
          <t>SUBV IRPJ CSLL- ICMS</t>
        </is>
      </c>
      <c r="F88" s="105" t="inlineStr">
        <is>
          <t>NOVO</t>
        </is>
      </c>
      <c r="G88" s="83" t="n">
        <v>104068</v>
      </c>
      <c r="H88" s="107" t="n">
        <v>0.2</v>
      </c>
      <c r="I88" s="83" t="n">
        <v>20813.6</v>
      </c>
      <c r="J88" s="105" t="inlineStr">
        <is>
          <t>BASE</t>
        </is>
      </c>
      <c r="K88" s="105" t="inlineStr">
        <is>
          <t>JAN</t>
        </is>
      </c>
      <c r="L88" s="105" t="n"/>
      <c r="M88" s="105" t="inlineStr">
        <is>
          <t>MORNO</t>
        </is>
      </c>
    </row>
    <row r="89" ht="15" customHeight="1" s="49">
      <c r="A89" s="105" t="inlineStr">
        <is>
          <t>HEITOR</t>
        </is>
      </c>
      <c r="B89" s="105" t="inlineStr">
        <is>
          <t>Campinas</t>
        </is>
      </c>
      <c r="C89" s="106" t="n"/>
      <c r="D89" s="105" t="inlineStr">
        <is>
          <t>SUPERMERCADO M H LTDA</t>
        </is>
      </c>
      <c r="E89" s="105" t="inlineStr">
        <is>
          <t>EXCLUSAO DE ICMS ST BASE PIS COFINS</t>
        </is>
      </c>
      <c r="F89" s="105" t="inlineStr">
        <is>
          <t>NOVO</t>
        </is>
      </c>
      <c r="G89" s="83" t="n">
        <v>346968</v>
      </c>
      <c r="H89" s="107" t="n">
        <v>0.2</v>
      </c>
      <c r="I89" s="83" t="n">
        <v>69393.60000000001</v>
      </c>
      <c r="J89" s="105" t="inlineStr">
        <is>
          <t>BASE</t>
        </is>
      </c>
      <c r="K89" s="105" t="inlineStr">
        <is>
          <t>JAN</t>
        </is>
      </c>
      <c r="L89" s="105" t="n"/>
      <c r="M89" s="105" t="inlineStr">
        <is>
          <t>MORNO</t>
        </is>
      </c>
    </row>
    <row r="90" ht="15" customHeight="1" s="49">
      <c r="A90" s="105" t="inlineStr">
        <is>
          <t>HEITOR</t>
        </is>
      </c>
      <c r="B90" s="105" t="inlineStr">
        <is>
          <t>Campinas</t>
        </is>
      </c>
      <c r="C90" s="106" t="n"/>
      <c r="D90" s="105" t="inlineStr">
        <is>
          <t>SUPERMERCADO M H LTDA</t>
        </is>
      </c>
      <c r="E90" s="105" t="inlineStr">
        <is>
          <t>EXCLUSAO DE ICMS BASE PIS COFINS</t>
        </is>
      </c>
      <c r="F90" s="105" t="inlineStr">
        <is>
          <t>NOVO</t>
        </is>
      </c>
      <c r="G90" s="83" t="n">
        <v>64790</v>
      </c>
      <c r="H90" s="107" t="n">
        <v>0.2</v>
      </c>
      <c r="I90" s="83" t="n">
        <v>12958</v>
      </c>
      <c r="J90" s="105" t="inlineStr">
        <is>
          <t>BASE</t>
        </is>
      </c>
      <c r="K90" s="105" t="inlineStr">
        <is>
          <t>JAN</t>
        </is>
      </c>
      <c r="L90" s="105" t="n"/>
      <c r="M90" s="105" t="inlineStr">
        <is>
          <t>MORNO</t>
        </is>
      </c>
    </row>
    <row r="91" ht="15" customHeight="1" s="49">
      <c r="A91" s="105" t="inlineStr">
        <is>
          <t>HEITOR</t>
        </is>
      </c>
      <c r="B91" s="105" t="inlineStr">
        <is>
          <t>Campinas</t>
        </is>
      </c>
      <c r="C91" s="106" t="n"/>
      <c r="D91" s="105" t="inlineStr">
        <is>
          <t>SUPERMERCADO M H LTDA</t>
        </is>
      </c>
      <c r="E91" s="105" t="inlineStr">
        <is>
          <t>PIS E COFINS INSUMOS</t>
        </is>
      </c>
      <c r="F91" s="105" t="inlineStr">
        <is>
          <t>NOVO</t>
        </is>
      </c>
      <c r="G91" s="83" t="n">
        <v>162820</v>
      </c>
      <c r="H91" s="107" t="n">
        <v>0.2</v>
      </c>
      <c r="I91" s="83" t="n">
        <v>32564</v>
      </c>
      <c r="J91" s="105" t="inlineStr">
        <is>
          <t>BASE</t>
        </is>
      </c>
      <c r="K91" s="105" t="inlineStr">
        <is>
          <t>JAN</t>
        </is>
      </c>
      <c r="L91" s="105" t="n"/>
      <c r="M91" s="105" t="inlineStr">
        <is>
          <t>MORNO</t>
        </is>
      </c>
    </row>
    <row r="92" ht="15" customHeight="1" s="49">
      <c r="A92" s="105" t="inlineStr">
        <is>
          <t>DIMAS</t>
        </is>
      </c>
      <c r="B92" s="105" t="inlineStr">
        <is>
          <t>Teresina e Mato Grosso do Sul</t>
        </is>
      </c>
      <c r="C92" s="106" t="n"/>
      <c r="D92" s="105" t="inlineStr">
        <is>
          <t>M S DIAGNOSTICO LTDA</t>
        </is>
      </c>
      <c r="E92" s="105" t="inlineStr">
        <is>
          <t>PREVIDENCIARIO</t>
        </is>
      </c>
      <c r="F92" s="105" t="inlineStr">
        <is>
          <t>UPSELL</t>
        </is>
      </c>
      <c r="G92" s="83" t="n">
        <v>2017549.08</v>
      </c>
      <c r="H92" s="107" t="n">
        <v>0.2</v>
      </c>
      <c r="I92" s="83" t="n">
        <v>403509.82</v>
      </c>
      <c r="J92" s="105" t="inlineStr">
        <is>
          <t>ASSINADO</t>
        </is>
      </c>
      <c r="K92" s="105" t="inlineStr">
        <is>
          <t>FEV</t>
        </is>
      </c>
      <c r="L92" s="105" t="inlineStr">
        <is>
          <t>FEV</t>
        </is>
      </c>
      <c r="M92" s="105" t="inlineStr">
        <is>
          <t>MORNO</t>
        </is>
      </c>
    </row>
    <row r="93" ht="15" customHeight="1" s="49">
      <c r="A93" s="105" t="inlineStr">
        <is>
          <t>HEITOR</t>
        </is>
      </c>
      <c r="B93" s="105" t="inlineStr">
        <is>
          <t>Campinas</t>
        </is>
      </c>
      <c r="C93" s="106" t="n"/>
      <c r="D93" s="105" t="inlineStr">
        <is>
          <t>DTM DISTRIBUIDORA DE PROD HIGIENE PESSOAL LTDA</t>
        </is>
      </c>
      <c r="E93" s="105" t="inlineStr">
        <is>
          <t>PIS E COFINS INSUMOS</t>
        </is>
      </c>
      <c r="F93" s="105" t="inlineStr">
        <is>
          <t>NOVO</t>
        </is>
      </c>
      <c r="G93" s="83" t="n">
        <v>70795</v>
      </c>
      <c r="H93" s="107" t="n">
        <v>0.2</v>
      </c>
      <c r="I93" s="83" t="n">
        <v>14159</v>
      </c>
      <c r="J93" s="105" t="inlineStr">
        <is>
          <t>ASSINADO</t>
        </is>
      </c>
      <c r="K93" s="105" t="inlineStr">
        <is>
          <t>FEV</t>
        </is>
      </c>
      <c r="L93" s="105" t="inlineStr">
        <is>
          <t>MAR</t>
        </is>
      </c>
      <c r="M93" s="105" t="inlineStr">
        <is>
          <t>QUENTE</t>
        </is>
      </c>
    </row>
    <row r="94" ht="15" customHeight="1" s="49">
      <c r="A94" s="105" t="inlineStr">
        <is>
          <t>HEITOR</t>
        </is>
      </c>
      <c r="B94" s="105" t="inlineStr">
        <is>
          <t>Campinas</t>
        </is>
      </c>
      <c r="C94" s="106" t="n"/>
      <c r="D94" s="105" t="inlineStr">
        <is>
          <t>MDO FOODS  DISTRIBUIDORA DE PRODUTOS ALIMENTICIOS</t>
        </is>
      </c>
      <c r="E94" s="105" t="inlineStr">
        <is>
          <t>EXCLUSAO ICMS ST DA BASE PIS COFINS</t>
        </is>
      </c>
      <c r="F94" s="105" t="inlineStr">
        <is>
          <t>UPSELL</t>
        </is>
      </c>
      <c r="G94" s="83" t="n">
        <v>35164.62</v>
      </c>
      <c r="H94" s="107" t="n">
        <v>0.2</v>
      </c>
      <c r="I94" s="83" t="n">
        <v>7032.924</v>
      </c>
      <c r="J94" s="105" t="inlineStr">
        <is>
          <t>ASSINADO</t>
        </is>
      </c>
      <c r="K94" s="105" t="inlineStr">
        <is>
          <t>FEV</t>
        </is>
      </c>
      <c r="L94" s="105" t="inlineStr">
        <is>
          <t>FEV</t>
        </is>
      </c>
      <c r="M94" s="105" t="inlineStr">
        <is>
          <t>QUENTE</t>
        </is>
      </c>
    </row>
    <row r="95" ht="15" customHeight="1" s="49">
      <c r="A95" s="105" t="inlineStr">
        <is>
          <t>HEITOR</t>
        </is>
      </c>
      <c r="B95" s="105" t="inlineStr">
        <is>
          <t>Campinas</t>
        </is>
      </c>
      <c r="C95" s="106" t="n"/>
      <c r="D95" s="105" t="inlineStr">
        <is>
          <t>DTM DISTRIBUIDORA DE PROD HIGIENE PESSOAL LTDA</t>
        </is>
      </c>
      <c r="E95" s="105" t="inlineStr">
        <is>
          <t>PIS E COFINS</t>
        </is>
      </c>
      <c r="F95" s="105" t="inlineStr">
        <is>
          <t>NOVO</t>
        </is>
      </c>
      <c r="G95" s="83" t="n">
        <v>70795</v>
      </c>
      <c r="H95" s="107" t="n">
        <v>0.2</v>
      </c>
      <c r="I95" s="83" t="n">
        <v>14159</v>
      </c>
      <c r="J95" s="105" t="inlineStr">
        <is>
          <t>ASSINADO</t>
        </is>
      </c>
      <c r="K95" s="105" t="inlineStr">
        <is>
          <t>FEV</t>
        </is>
      </c>
      <c r="L95" s="105" t="inlineStr">
        <is>
          <t>MAR</t>
        </is>
      </c>
      <c r="M95" s="105" t="inlineStr">
        <is>
          <t>QUENTE</t>
        </is>
      </c>
    </row>
    <row r="96" ht="15" customHeight="1" s="49">
      <c r="A96" s="105" t="inlineStr">
        <is>
          <t>HEITOR</t>
        </is>
      </c>
      <c r="B96" s="105" t="inlineStr">
        <is>
          <t>Campinas</t>
        </is>
      </c>
      <c r="C96" s="106" t="n"/>
      <c r="D96" s="105" t="inlineStr">
        <is>
          <t>DTM DISTRIBUIDORA DE PROD HIGIENE PESSOAL LTDA</t>
        </is>
      </c>
      <c r="E96" s="105" t="inlineStr">
        <is>
          <t>EXCLUSAO ICMS ST DA BASE PIS COFINS</t>
        </is>
      </c>
      <c r="F96" s="105" t="inlineStr">
        <is>
          <t>NOVO</t>
        </is>
      </c>
      <c r="G96" s="83" t="n">
        <v>1482789</v>
      </c>
      <c r="H96" s="107" t="n">
        <v>0.2</v>
      </c>
      <c r="I96" s="83" t="n">
        <v>296557.8</v>
      </c>
      <c r="J96" s="105" t="inlineStr">
        <is>
          <t>ASSINADO</t>
        </is>
      </c>
      <c r="K96" s="105" t="inlineStr">
        <is>
          <t>FEV</t>
        </is>
      </c>
      <c r="L96" s="105" t="inlineStr">
        <is>
          <t>MAR</t>
        </is>
      </c>
      <c r="M96" s="105" t="inlineStr">
        <is>
          <t>QUENTE</t>
        </is>
      </c>
    </row>
    <row r="97" ht="15" customHeight="1" s="49">
      <c r="A97" s="105" t="inlineStr">
        <is>
          <t>HEITOR</t>
        </is>
      </c>
      <c r="B97" s="105" t="inlineStr">
        <is>
          <t>Campinas</t>
        </is>
      </c>
      <c r="C97" s="106" t="n"/>
      <c r="D97" s="105" t="inlineStr">
        <is>
          <t>SUPERMERCADO MOREIRA</t>
        </is>
      </c>
      <c r="E97" s="105" t="inlineStr">
        <is>
          <t xml:space="preserve">PREVIDENCIARIO </t>
        </is>
      </c>
      <c r="F97" s="105" t="inlineStr">
        <is>
          <t>UPSELL</t>
        </is>
      </c>
      <c r="G97" s="83" t="n">
        <v>111159.62</v>
      </c>
      <c r="H97" s="107" t="n">
        <v>0.17</v>
      </c>
      <c r="I97" s="83" t="n">
        <v>18897.14</v>
      </c>
      <c r="J97" s="105" t="inlineStr">
        <is>
          <t>ASSINADO</t>
        </is>
      </c>
      <c r="K97" s="105" t="inlineStr">
        <is>
          <t>FEV</t>
        </is>
      </c>
      <c r="L97" s="105" t="inlineStr">
        <is>
          <t>MAR</t>
        </is>
      </c>
      <c r="M97" s="105" t="inlineStr">
        <is>
          <t>QUENTE</t>
        </is>
      </c>
    </row>
    <row r="98" ht="15" customHeight="1" s="49">
      <c r="A98" s="105" t="inlineStr">
        <is>
          <t>HEITOR</t>
        </is>
      </c>
      <c r="B98" s="105" t="inlineStr">
        <is>
          <t>Campinas</t>
        </is>
      </c>
      <c r="C98" s="106" t="n"/>
      <c r="D98" s="105" t="inlineStr">
        <is>
          <t>SUPERMERCADO NOEMIA</t>
        </is>
      </c>
      <c r="E98" s="105" t="inlineStr">
        <is>
          <t xml:space="preserve">PREVIDENCIARIO </t>
        </is>
      </c>
      <c r="F98" s="105" t="inlineStr">
        <is>
          <t>UPSELL</t>
        </is>
      </c>
      <c r="G98" s="83" t="n">
        <v>107669</v>
      </c>
      <c r="H98" s="107" t="n">
        <v>0.2</v>
      </c>
      <c r="I98" s="83" t="n">
        <v>21533.8</v>
      </c>
      <c r="J98" s="105" t="inlineStr">
        <is>
          <t>ASSINADO</t>
        </is>
      </c>
      <c r="K98" s="105" t="inlineStr">
        <is>
          <t>FEV</t>
        </is>
      </c>
      <c r="L98" s="105" t="inlineStr">
        <is>
          <t>MAR</t>
        </is>
      </c>
      <c r="M98" s="105" t="inlineStr">
        <is>
          <t>QUENTE</t>
        </is>
      </c>
    </row>
    <row r="99" ht="15" customHeight="1" s="49">
      <c r="A99" s="105" t="inlineStr">
        <is>
          <t>HEITOR</t>
        </is>
      </c>
      <c r="B99" s="105" t="inlineStr">
        <is>
          <t>Campinas</t>
        </is>
      </c>
      <c r="C99" s="106" t="n"/>
      <c r="D99" s="105" t="inlineStr">
        <is>
          <t>MDO FOODS  DISTRIBUIDORA DE PRODUTOS ALIMENTICIOS</t>
        </is>
      </c>
      <c r="E99" s="105" t="inlineStr">
        <is>
          <t xml:space="preserve">PREVIDENCIARIO </t>
        </is>
      </c>
      <c r="F99" s="105" t="inlineStr">
        <is>
          <t>UPSELL</t>
        </is>
      </c>
      <c r="G99" s="83" t="n">
        <v>281350.41</v>
      </c>
      <c r="H99" s="107" t="n">
        <v>0.2</v>
      </c>
      <c r="I99" s="83" t="n">
        <v>56270.082</v>
      </c>
      <c r="J99" s="105" t="inlineStr">
        <is>
          <t>ASSINADO</t>
        </is>
      </c>
      <c r="K99" s="105" t="inlineStr">
        <is>
          <t>FEV</t>
        </is>
      </c>
      <c r="L99" s="105" t="inlineStr">
        <is>
          <t>FEV</t>
        </is>
      </c>
      <c r="M99" s="105" t="inlineStr">
        <is>
          <t>QUENTE</t>
        </is>
      </c>
    </row>
    <row r="100" ht="15" customHeight="1" s="49">
      <c r="A100" s="105" t="inlineStr">
        <is>
          <t>HUDSON</t>
        </is>
      </c>
      <c r="B100" s="105" t="inlineStr">
        <is>
          <t>São Paulo - Matriz</t>
        </is>
      </c>
      <c r="C100" s="106" t="n"/>
      <c r="D100" s="105" t="inlineStr">
        <is>
          <t>AGROTAJU</t>
        </is>
      </c>
      <c r="E100" s="105" t="inlineStr">
        <is>
          <t>SUBV IRPJ E CSLL ICMS</t>
        </is>
      </c>
      <c r="F100" s="105" t="inlineStr">
        <is>
          <t>NOVO</t>
        </is>
      </c>
      <c r="G100" s="83" t="n">
        <v>125046</v>
      </c>
      <c r="H100" s="107" t="n">
        <v>0.2</v>
      </c>
      <c r="I100" s="83" t="n">
        <v>25009.2</v>
      </c>
      <c r="J100" s="105" t="inlineStr">
        <is>
          <t>ASSINADO</t>
        </is>
      </c>
      <c r="K100" s="105" t="inlineStr">
        <is>
          <t>DEZ</t>
        </is>
      </c>
      <c r="L100" s="105" t="inlineStr">
        <is>
          <t>DEZ</t>
        </is>
      </c>
      <c r="M100" s="105" t="inlineStr">
        <is>
          <t>FRIO</t>
        </is>
      </c>
    </row>
    <row r="101" ht="15" customHeight="1" s="49">
      <c r="A101" s="105" t="inlineStr">
        <is>
          <t>HUDSON</t>
        </is>
      </c>
      <c r="B101" s="105" t="inlineStr">
        <is>
          <t>São Paulo - Matriz</t>
        </is>
      </c>
      <c r="C101" s="106" t="n"/>
      <c r="D101" s="105" t="inlineStr">
        <is>
          <t>AGROTAJU</t>
        </is>
      </c>
      <c r="E101" s="105" t="inlineStr">
        <is>
          <t>PIS COFINS INSUMOS</t>
        </is>
      </c>
      <c r="F101" s="105" t="inlineStr">
        <is>
          <t>NOVO</t>
        </is>
      </c>
      <c r="G101" s="83" t="n">
        <v>322044</v>
      </c>
      <c r="H101" s="107" t="n">
        <v>0.2</v>
      </c>
      <c r="I101" s="83" t="n">
        <v>64408.8</v>
      </c>
      <c r="J101" s="105" t="inlineStr">
        <is>
          <t>ASSINADO</t>
        </is>
      </c>
      <c r="K101" s="105" t="inlineStr">
        <is>
          <t>DEZ</t>
        </is>
      </c>
      <c r="L101" s="105" t="inlineStr">
        <is>
          <t>DEZ</t>
        </is>
      </c>
      <c r="M101" s="105" t="inlineStr">
        <is>
          <t>FRIO</t>
        </is>
      </c>
    </row>
    <row r="102" ht="15" customHeight="1" s="49">
      <c r="A102" s="105" t="inlineStr">
        <is>
          <t>HUDSON</t>
        </is>
      </c>
      <c r="B102" s="105" t="inlineStr">
        <is>
          <t>São Paulo - Matriz</t>
        </is>
      </c>
      <c r="C102" s="106" t="n"/>
      <c r="D102" s="105" t="inlineStr">
        <is>
          <t>AGROTAJU</t>
        </is>
      </c>
      <c r="E102" s="105" t="inlineStr">
        <is>
          <t>EXCLUSAO ICMS ST DA BASE PIS COFINS</t>
        </is>
      </c>
      <c r="F102" s="105" t="inlineStr">
        <is>
          <t>NOVO</t>
        </is>
      </c>
      <c r="G102" s="83" t="n">
        <v>137334</v>
      </c>
      <c r="H102" s="107" t="n">
        <v>0.2</v>
      </c>
      <c r="I102" s="83" t="n">
        <v>27466.8</v>
      </c>
      <c r="J102" s="105" t="inlineStr">
        <is>
          <t>ASSINADO</t>
        </is>
      </c>
      <c r="K102" s="105" t="inlineStr">
        <is>
          <t>DEZ</t>
        </is>
      </c>
      <c r="L102" s="105" t="inlineStr">
        <is>
          <t>DEZ</t>
        </is>
      </c>
      <c r="M102" s="105" t="inlineStr">
        <is>
          <t>MORNO</t>
        </is>
      </c>
    </row>
    <row r="103" ht="15" customHeight="1" s="49">
      <c r="A103" s="105" t="inlineStr">
        <is>
          <t>HUDSON</t>
        </is>
      </c>
      <c r="B103" s="105" t="inlineStr">
        <is>
          <t>São Paulo - Matriz</t>
        </is>
      </c>
      <c r="C103" s="106" t="n"/>
      <c r="D103" s="105" t="inlineStr">
        <is>
          <t>DK BORRACHARIA</t>
        </is>
      </c>
      <c r="E103" s="105" t="inlineStr">
        <is>
          <t>PIS COFINS INSUMOS</t>
        </is>
      </c>
      <c r="F103" s="105" t="inlineStr">
        <is>
          <t>NOVO</t>
        </is>
      </c>
      <c r="G103" s="83" t="n"/>
      <c r="H103" s="107" t="n">
        <v>0.2</v>
      </c>
      <c r="I103" s="83" t="n"/>
      <c r="J103" s="105" t="inlineStr">
        <is>
          <t>BASE</t>
        </is>
      </c>
      <c r="K103" s="105" t="inlineStr">
        <is>
          <t>DEZ</t>
        </is>
      </c>
      <c r="L103" s="105" t="n"/>
      <c r="M103" s="105" t="inlineStr">
        <is>
          <t>MORNO</t>
        </is>
      </c>
    </row>
    <row r="104" ht="15" customHeight="1" s="49">
      <c r="A104" s="105" t="inlineStr">
        <is>
          <t>HUDSON</t>
        </is>
      </c>
      <c r="B104" s="105" t="inlineStr">
        <is>
          <t>São Paulo - Matriz</t>
        </is>
      </c>
      <c r="C104" s="106" t="n"/>
      <c r="D104" s="105" t="inlineStr">
        <is>
          <t>DK BORRACHARIA</t>
        </is>
      </c>
      <c r="E104" s="105" t="inlineStr">
        <is>
          <t>EXCLUSAO ICMS ST DA BASE PIS COFINS</t>
        </is>
      </c>
      <c r="F104" s="105" t="inlineStr">
        <is>
          <t>NOVO</t>
        </is>
      </c>
      <c r="G104" s="83" t="n">
        <v>718742</v>
      </c>
      <c r="H104" s="107" t="n">
        <v>0.2</v>
      </c>
      <c r="I104" s="83" t="n">
        <v>143748.4</v>
      </c>
      <c r="J104" s="105" t="inlineStr">
        <is>
          <t>BASE</t>
        </is>
      </c>
      <c r="K104" s="105" t="inlineStr">
        <is>
          <t>DEZ</t>
        </is>
      </c>
      <c r="L104" s="105" t="n"/>
      <c r="M104" s="105" t="inlineStr">
        <is>
          <t>QUENTE</t>
        </is>
      </c>
    </row>
    <row r="105" ht="15" customHeight="1" s="49">
      <c r="A105" s="105" t="inlineStr">
        <is>
          <t>HUDSON</t>
        </is>
      </c>
      <c r="B105" s="105" t="inlineStr">
        <is>
          <t>São Paulo - Matriz</t>
        </is>
      </c>
      <c r="C105" s="106" t="n"/>
      <c r="D105" s="105" t="inlineStr">
        <is>
          <t>F E LOURENÇO DE JESUS SOMBRA</t>
        </is>
      </c>
      <c r="E105" s="105" t="inlineStr">
        <is>
          <t>IRPJ E CSLL - DEDUÇÃO JCP</t>
        </is>
      </c>
      <c r="F105" s="105" t="inlineStr">
        <is>
          <t>NOVO</t>
        </is>
      </c>
      <c r="G105" s="83" t="n">
        <v>40212</v>
      </c>
      <c r="H105" s="107" t="n">
        <v>0.25</v>
      </c>
      <c r="I105" s="83" t="n">
        <v>10053</v>
      </c>
      <c r="J105" s="105" t="inlineStr">
        <is>
          <t>ASSINADO</t>
        </is>
      </c>
      <c r="K105" s="105" t="inlineStr">
        <is>
          <t>NOV</t>
        </is>
      </c>
      <c r="L105" s="105" t="inlineStr">
        <is>
          <t>NOV</t>
        </is>
      </c>
      <c r="M105" s="105" t="inlineStr">
        <is>
          <t>QUENTE</t>
        </is>
      </c>
    </row>
    <row r="106" ht="15" customHeight="1" s="49">
      <c r="A106" s="105" t="inlineStr">
        <is>
          <t>HUDSON</t>
        </is>
      </c>
      <c r="B106" s="105" t="inlineStr">
        <is>
          <t>São Paulo - Matriz</t>
        </is>
      </c>
      <c r="C106" s="106" t="n"/>
      <c r="D106" s="105" t="inlineStr">
        <is>
          <t>F E LOURENÇO DE JESUS SOMBRA</t>
        </is>
      </c>
      <c r="E106" s="105" t="inlineStr">
        <is>
          <t>PIS COFINS INSUMOS</t>
        </is>
      </c>
      <c r="F106" s="105" t="inlineStr">
        <is>
          <t>NOVO</t>
        </is>
      </c>
      <c r="G106" s="83" t="n">
        <v>200294</v>
      </c>
      <c r="H106" s="107" t="n">
        <v>0.25</v>
      </c>
      <c r="I106" s="83" t="n">
        <v>50073.5</v>
      </c>
      <c r="J106" s="105" t="inlineStr">
        <is>
          <t>ASSINADO</t>
        </is>
      </c>
      <c r="K106" s="105" t="inlineStr">
        <is>
          <t>NOV</t>
        </is>
      </c>
      <c r="L106" s="105" t="inlineStr">
        <is>
          <t>NOV</t>
        </is>
      </c>
      <c r="M106" s="105" t="inlineStr">
        <is>
          <t>MORNO</t>
        </is>
      </c>
    </row>
    <row r="107" ht="15" customHeight="1" s="49">
      <c r="A107" s="105" t="inlineStr">
        <is>
          <t>HUDSON</t>
        </is>
      </c>
      <c r="B107" s="105" t="inlineStr">
        <is>
          <t>São Paulo - Matriz</t>
        </is>
      </c>
      <c r="C107" s="106" t="n"/>
      <c r="D107" s="105" t="inlineStr">
        <is>
          <t>JE COMERCIO ATACADISTA DE CARNES LTDA</t>
        </is>
      </c>
      <c r="E107" s="105" t="inlineStr">
        <is>
          <t>IRPJ CSLL - DEDUÇÃO JCP</t>
        </is>
      </c>
      <c r="F107" s="105" t="inlineStr">
        <is>
          <t>NOVO</t>
        </is>
      </c>
      <c r="G107" s="83" t="n">
        <v>201708</v>
      </c>
      <c r="H107" s="107" t="n">
        <v>0.2</v>
      </c>
      <c r="I107" s="83" t="n">
        <v>40341.6</v>
      </c>
      <c r="J107" s="105" t="inlineStr">
        <is>
          <t>ASSINADO</t>
        </is>
      </c>
      <c r="K107" s="105" t="inlineStr">
        <is>
          <t>FEV</t>
        </is>
      </c>
      <c r="L107" s="105" t="inlineStr">
        <is>
          <t>FEV</t>
        </is>
      </c>
      <c r="M107" s="105" t="inlineStr">
        <is>
          <t>MORNO</t>
        </is>
      </c>
    </row>
    <row r="108" ht="15" customHeight="1" s="49">
      <c r="A108" s="105" t="inlineStr">
        <is>
          <t>HUDSON</t>
        </is>
      </c>
      <c r="B108" s="105" t="inlineStr">
        <is>
          <t>São Paulo - Matriz</t>
        </is>
      </c>
      <c r="C108" s="106" t="n"/>
      <c r="D108" s="105" t="inlineStr">
        <is>
          <t>TAVARES &amp; NOBRE SUPERMERCADO LTDA</t>
        </is>
      </c>
      <c r="E108" s="105" t="inlineStr">
        <is>
          <t>PIS E COFINS INSUMOS</t>
        </is>
      </c>
      <c r="F108" s="105" t="inlineStr">
        <is>
          <t>NOVO</t>
        </is>
      </c>
      <c r="G108" s="83" t="n">
        <v>512676</v>
      </c>
      <c r="H108" s="107" t="n">
        <v>0.2</v>
      </c>
      <c r="I108" s="83" t="n">
        <v>102535.2</v>
      </c>
      <c r="J108" s="105" t="inlineStr">
        <is>
          <t>ASSINADO</t>
        </is>
      </c>
      <c r="K108" s="105" t="inlineStr">
        <is>
          <t>JAN</t>
        </is>
      </c>
      <c r="L108" s="105" t="n"/>
      <c r="M108" s="105" t="inlineStr">
        <is>
          <t>MORNO</t>
        </is>
      </c>
    </row>
    <row r="109" ht="15" customHeight="1" s="49">
      <c r="A109" s="105" t="inlineStr">
        <is>
          <t>HUDSON</t>
        </is>
      </c>
      <c r="B109" s="105" t="inlineStr">
        <is>
          <t>São Paulo - Matriz</t>
        </is>
      </c>
      <c r="C109" s="106" t="n"/>
      <c r="D109" s="105" t="inlineStr">
        <is>
          <t>TAVARES &amp; NOBRE SUPERMERCADO LTDA</t>
        </is>
      </c>
      <c r="E109" s="105" t="inlineStr">
        <is>
          <t>IRPJ CSLL - DEDUÇÃO JCP</t>
        </is>
      </c>
      <c r="F109" s="105" t="inlineStr">
        <is>
          <t>NOVO</t>
        </is>
      </c>
      <c r="G109" s="83" t="n">
        <v>102108</v>
      </c>
      <c r="H109" s="107" t="n">
        <v>0.2</v>
      </c>
      <c r="I109" s="83" t="n">
        <v>20421.6</v>
      </c>
      <c r="J109" s="105" t="inlineStr">
        <is>
          <t>ASSINADO</t>
        </is>
      </c>
      <c r="K109" s="105" t="inlineStr">
        <is>
          <t>JAN</t>
        </is>
      </c>
      <c r="L109" s="105" t="n"/>
      <c r="M109" s="105" t="inlineStr">
        <is>
          <t>MORNO</t>
        </is>
      </c>
    </row>
    <row r="110" ht="15" customHeight="1" s="49">
      <c r="A110" s="105" t="inlineStr">
        <is>
          <t>HUDSON</t>
        </is>
      </c>
      <c r="B110" s="105" t="inlineStr">
        <is>
          <t>São Paulo - Matriz</t>
        </is>
      </c>
      <c r="C110" s="106" t="n"/>
      <c r="D110" s="105" t="inlineStr">
        <is>
          <t>TAVARES &amp; NOBRE SUPERMERCADO LTDA</t>
        </is>
      </c>
      <c r="E110" s="105" t="inlineStr">
        <is>
          <t>EXCLUSAO DE ICMS ST DA BASE PIS E COFINS</t>
        </is>
      </c>
      <c r="F110" s="105" t="inlineStr">
        <is>
          <t>NOVO</t>
        </is>
      </c>
      <c r="G110" s="83" t="n"/>
      <c r="H110" s="107" t="n">
        <v>0.2</v>
      </c>
      <c r="I110" s="83" t="n">
        <v>0</v>
      </c>
      <c r="J110" s="105" t="inlineStr">
        <is>
          <t>ASSINADO</t>
        </is>
      </c>
      <c r="K110" s="105" t="inlineStr">
        <is>
          <t>JAN</t>
        </is>
      </c>
      <c r="L110" s="105" t="n"/>
      <c r="M110" s="105" t="inlineStr">
        <is>
          <t>MORNO</t>
        </is>
      </c>
    </row>
    <row r="111" ht="15" customHeight="1" s="49">
      <c r="A111" s="105" t="inlineStr">
        <is>
          <t>HUDSON</t>
        </is>
      </c>
      <c r="B111" s="105" t="inlineStr">
        <is>
          <t>São Paulo - Matriz</t>
        </is>
      </c>
      <c r="C111" s="106" t="n"/>
      <c r="D111" s="105" t="inlineStr">
        <is>
          <t>UNIFORCA DISTRIBUIDORA IMPORTADA E EXPORTA</t>
        </is>
      </c>
      <c r="E111" s="105" t="inlineStr">
        <is>
          <t>PIS E COFINS INSUMOS</t>
        </is>
      </c>
      <c r="F111" s="105" t="inlineStr">
        <is>
          <t>NOVO</t>
        </is>
      </c>
      <c r="G111" s="83" t="n">
        <v>354416</v>
      </c>
      <c r="H111" s="107" t="n">
        <v>0.2</v>
      </c>
      <c r="I111" s="83" t="n">
        <v>70883.2</v>
      </c>
      <c r="J111" s="105" t="inlineStr">
        <is>
          <t>BASE</t>
        </is>
      </c>
      <c r="K111" s="105" t="inlineStr">
        <is>
          <t>FEV</t>
        </is>
      </c>
      <c r="L111" s="105" t="n"/>
      <c r="M111" s="105" t="inlineStr">
        <is>
          <t>QUENTE</t>
        </is>
      </c>
    </row>
    <row r="112" ht="15" customHeight="1" s="49">
      <c r="A112" s="105" t="inlineStr">
        <is>
          <t>HUDSON</t>
        </is>
      </c>
      <c r="B112" s="105" t="inlineStr">
        <is>
          <t>São Paulo - Matriz</t>
        </is>
      </c>
      <c r="C112" s="106" t="n"/>
      <c r="D112" s="105" t="inlineStr">
        <is>
          <t>AIA COMERCIAL DE ALIMENTOS NOBRE</t>
        </is>
      </c>
      <c r="E112" s="105" t="inlineStr">
        <is>
          <t>PIS E COFINS INSUMOS</t>
        </is>
      </c>
      <c r="F112" s="105" t="inlineStr">
        <is>
          <t>NOVO</t>
        </is>
      </c>
      <c r="G112" s="83" t="n">
        <v>114003</v>
      </c>
      <c r="H112" s="107" t="n">
        <v>0.2</v>
      </c>
      <c r="I112" s="83" t="n">
        <v>22800.6</v>
      </c>
      <c r="J112" s="105" t="inlineStr">
        <is>
          <t>ASSINADO</t>
        </is>
      </c>
      <c r="K112" s="105" t="inlineStr">
        <is>
          <t>MAR</t>
        </is>
      </c>
      <c r="L112" s="105" t="n"/>
      <c r="M112" s="105" t="inlineStr">
        <is>
          <t>MORNO</t>
        </is>
      </c>
    </row>
    <row r="113" ht="15" customHeight="1" s="49">
      <c r="A113" s="105" t="inlineStr">
        <is>
          <t>HUDSON</t>
        </is>
      </c>
      <c r="B113" s="105" t="inlineStr">
        <is>
          <t>São Paulo - Matriz</t>
        </is>
      </c>
      <c r="C113" s="106" t="n"/>
      <c r="D113" s="105" t="inlineStr">
        <is>
          <t>DATERRA COMERCIAL DE ALIMENTOS LTDA</t>
        </is>
      </c>
      <c r="E113" s="105" t="n"/>
      <c r="F113" s="105" t="n"/>
      <c r="G113" s="83" t="n"/>
      <c r="H113" s="107" t="n"/>
      <c r="I113" s="83" t="n"/>
      <c r="J113" s="105" t="inlineStr">
        <is>
          <t>ASSINADO</t>
        </is>
      </c>
      <c r="K113" s="105" t="n"/>
      <c r="L113" s="105" t="n"/>
      <c r="M113" s="105" t="n"/>
    </row>
    <row r="114" ht="15" customHeight="1" s="49">
      <c r="A114" s="105" t="inlineStr">
        <is>
          <t>HUDSON</t>
        </is>
      </c>
      <c r="B114" s="105" t="inlineStr">
        <is>
          <t>São Paulo - Matriz</t>
        </is>
      </c>
      <c r="C114" s="106" t="n"/>
      <c r="D114" s="105" t="inlineStr">
        <is>
          <t>HIMALAIA COMERCIO DE PRODUTOS ALIMENTARES LTDA</t>
        </is>
      </c>
      <c r="E114" s="105" t="inlineStr">
        <is>
          <t>EXCLUSAO DE ICMS ST DA BASE PIS E COFINS</t>
        </is>
      </c>
      <c r="F114" s="105" t="inlineStr">
        <is>
          <t>NOVO</t>
        </is>
      </c>
      <c r="G114" s="83" t="n"/>
      <c r="H114" s="107" t="n">
        <v>0.2</v>
      </c>
      <c r="I114" s="83" t="n"/>
      <c r="J114" s="105" t="inlineStr">
        <is>
          <t>BASE</t>
        </is>
      </c>
      <c r="K114" s="105" t="inlineStr">
        <is>
          <t>FEV</t>
        </is>
      </c>
      <c r="L114" s="105" t="n"/>
      <c r="M114" s="105" t="inlineStr">
        <is>
          <t>FRIO</t>
        </is>
      </c>
    </row>
    <row r="115" ht="15" customHeight="1" s="49">
      <c r="A115" s="105" t="inlineStr">
        <is>
          <t>HUDSON</t>
        </is>
      </c>
      <c r="B115" s="105" t="inlineStr">
        <is>
          <t>São Paulo - Matriz</t>
        </is>
      </c>
      <c r="C115" s="106" t="n"/>
      <c r="D115" s="105" t="inlineStr">
        <is>
          <t>HIMALAIA COMERCIO DE PRODUTOS ALIMENTARES LTDA</t>
        </is>
      </c>
      <c r="E115" s="105" t="inlineStr">
        <is>
          <t>PIS E COFINS INSUMOS</t>
        </is>
      </c>
      <c r="F115" s="105" t="inlineStr">
        <is>
          <t>NOVO</t>
        </is>
      </c>
      <c r="G115" s="83" t="n"/>
      <c r="H115" s="107" t="n">
        <v>0.2</v>
      </c>
      <c r="I115" s="83" t="n"/>
      <c r="J115" s="105" t="inlineStr">
        <is>
          <t>BASE</t>
        </is>
      </c>
      <c r="K115" s="105" t="inlineStr">
        <is>
          <t>FEV</t>
        </is>
      </c>
      <c r="L115" s="105" t="n"/>
      <c r="M115" s="105" t="inlineStr">
        <is>
          <t>FRIO</t>
        </is>
      </c>
    </row>
    <row r="116" ht="15" customHeight="1" s="49">
      <c r="A116" s="105" t="inlineStr">
        <is>
          <t>HUDSON</t>
        </is>
      </c>
      <c r="B116" s="105" t="inlineStr">
        <is>
          <t>São Paulo - Matriz</t>
        </is>
      </c>
      <c r="C116" s="106" t="n"/>
      <c r="D116" s="105" t="inlineStr">
        <is>
          <t>DATERRA COMERCIAL DE ALIMENTOS LTDA</t>
        </is>
      </c>
      <c r="E116" s="105" t="inlineStr">
        <is>
          <t>EXCLUSAO DE ICMS ST DA BASE PIS E COFINS</t>
        </is>
      </c>
      <c r="F116" s="105" t="inlineStr">
        <is>
          <t>NOVO</t>
        </is>
      </c>
      <c r="G116" s="83" t="n">
        <v>3083.036</v>
      </c>
      <c r="H116" s="107" t="n">
        <v>0.13</v>
      </c>
      <c r="I116" s="83" t="n">
        <v>400.79468</v>
      </c>
      <c r="J116" s="105" t="inlineStr">
        <is>
          <t>ASSINADO</t>
        </is>
      </c>
      <c r="K116" s="105" t="inlineStr">
        <is>
          <t>MAR</t>
        </is>
      </c>
      <c r="L116" s="105" t="inlineStr">
        <is>
          <t>ABR</t>
        </is>
      </c>
      <c r="M116" s="105" t="inlineStr">
        <is>
          <t>QUENTE</t>
        </is>
      </c>
    </row>
    <row r="117" ht="15" customHeight="1" s="49">
      <c r="A117" s="105" t="inlineStr">
        <is>
          <t>HUDSON</t>
        </is>
      </c>
      <c r="B117" s="105" t="inlineStr">
        <is>
          <t>São Paulo - Matriz</t>
        </is>
      </c>
      <c r="C117" s="106" t="n"/>
      <c r="D117" s="105" t="inlineStr">
        <is>
          <t>DATERRA COMERCIAL DE ALIMENTOS LTDA</t>
        </is>
      </c>
      <c r="E117" s="105" t="inlineStr">
        <is>
          <t>PIS E COFINS INSUMOS</t>
        </is>
      </c>
      <c r="F117" s="105" t="inlineStr">
        <is>
          <t>NOVO</t>
        </is>
      </c>
      <c r="G117" s="83" t="n">
        <v>258480</v>
      </c>
      <c r="H117" s="107" t="n">
        <v>0.13</v>
      </c>
      <c r="I117" s="83" t="n">
        <v>33602.4</v>
      </c>
      <c r="J117" s="105" t="inlineStr">
        <is>
          <t>ASSINADO</t>
        </is>
      </c>
      <c r="K117" s="105" t="inlineStr">
        <is>
          <t>MAR</t>
        </is>
      </c>
      <c r="L117" s="105" t="inlineStr">
        <is>
          <t>ABR</t>
        </is>
      </c>
      <c r="M117" s="105" t="inlineStr">
        <is>
          <t>QUENTE</t>
        </is>
      </c>
    </row>
    <row r="118" ht="15" customHeight="1" s="49">
      <c r="A118" s="105" t="inlineStr">
        <is>
          <t>HUDSON</t>
        </is>
      </c>
      <c r="B118" s="105" t="inlineStr">
        <is>
          <t>São Paulo - Matriz</t>
        </is>
      </c>
      <c r="C118" s="106" t="n"/>
      <c r="D118" s="105" t="inlineStr">
        <is>
          <t>BUENO SUPERMERCADO LTDA</t>
        </is>
      </c>
      <c r="E118" s="105" t="inlineStr">
        <is>
          <t>PIS E COFINS INSUMOS</t>
        </is>
      </c>
      <c r="F118" s="105" t="inlineStr">
        <is>
          <t>NOVO</t>
        </is>
      </c>
      <c r="G118" s="83" t="n">
        <v>48909</v>
      </c>
      <c r="H118" s="107" t="n">
        <v>0.2</v>
      </c>
      <c r="I118" s="83" t="n">
        <v>9781.799999999999</v>
      </c>
      <c r="J118" s="105" t="inlineStr">
        <is>
          <t>ASSINADO</t>
        </is>
      </c>
      <c r="K118" s="105" t="inlineStr">
        <is>
          <t>MAR</t>
        </is>
      </c>
      <c r="L118" s="105" t="inlineStr">
        <is>
          <t>ABR</t>
        </is>
      </c>
      <c r="M118" s="105" t="inlineStr">
        <is>
          <t>MORNO</t>
        </is>
      </c>
    </row>
    <row r="119" ht="15" customHeight="1" s="49">
      <c r="A119" s="105" t="inlineStr">
        <is>
          <t>HUDSON</t>
        </is>
      </c>
      <c r="B119" s="105" t="inlineStr">
        <is>
          <t>São Paulo - Matriz</t>
        </is>
      </c>
      <c r="C119" s="106" t="n"/>
      <c r="D119" s="105" t="inlineStr">
        <is>
          <t>COMERCIAL BUENO DE ALIMENTOS LTDA</t>
        </is>
      </c>
      <c r="E119" s="105" t="inlineStr">
        <is>
          <t>PIS E COFINS INSUMOS</t>
        </is>
      </c>
      <c r="F119" s="105" t="inlineStr">
        <is>
          <t>NOVO</t>
        </is>
      </c>
      <c r="G119" s="83" t="n">
        <v>105998</v>
      </c>
      <c r="H119" s="107" t="n">
        <v>0.13</v>
      </c>
      <c r="I119" s="83" t="n">
        <v>13779.74</v>
      </c>
      <c r="J119" s="105" t="inlineStr">
        <is>
          <t>ASSINADO</t>
        </is>
      </c>
      <c r="K119" s="105" t="inlineStr">
        <is>
          <t>MAR</t>
        </is>
      </c>
      <c r="L119" s="105" t="inlineStr">
        <is>
          <t>ABR</t>
        </is>
      </c>
      <c r="M119" s="105" t="inlineStr">
        <is>
          <t>MORNO</t>
        </is>
      </c>
    </row>
    <row r="120" ht="15" customHeight="1" s="49">
      <c r="A120" s="105" t="inlineStr">
        <is>
          <t>HUDSON</t>
        </is>
      </c>
      <c r="B120" s="105" t="inlineStr">
        <is>
          <t>São Paulo - Matriz</t>
        </is>
      </c>
      <c r="C120" s="106" t="n"/>
      <c r="D120" s="105" t="inlineStr">
        <is>
          <t>SUPERMERCADO DO POVO LTDA</t>
        </is>
      </c>
      <c r="E120" s="105" t="inlineStr">
        <is>
          <t>ICMS INSUMOS INTERMEDIARIOS</t>
        </is>
      </c>
      <c r="F120" s="105" t="inlineStr">
        <is>
          <t>NOVO</t>
        </is>
      </c>
      <c r="G120" s="83" t="n"/>
      <c r="H120" s="107" t="n">
        <v>0.2</v>
      </c>
      <c r="I120" s="83" t="n"/>
      <c r="J120" s="105" t="inlineStr">
        <is>
          <t>STANDBY</t>
        </is>
      </c>
      <c r="K120" s="105" t="inlineStr">
        <is>
          <t>FEV</t>
        </is>
      </c>
      <c r="L120" s="105" t="n"/>
      <c r="M120" s="105" t="inlineStr">
        <is>
          <t>FRIO</t>
        </is>
      </c>
    </row>
    <row r="121" ht="15" customHeight="1" s="49">
      <c r="A121" s="105" t="inlineStr">
        <is>
          <t>HUDSON</t>
        </is>
      </c>
      <c r="B121" s="105" t="inlineStr">
        <is>
          <t>São Paulo - Matriz</t>
        </is>
      </c>
      <c r="C121" s="106" t="n"/>
      <c r="D121" s="105" t="inlineStr">
        <is>
          <t>SUPERMERCADO DO POVO LTDA</t>
        </is>
      </c>
      <c r="E121" s="105" t="inlineStr">
        <is>
          <t>EXCLUSAO DE ICMS ST DA BASE PIS E COFINS</t>
        </is>
      </c>
      <c r="F121" s="105" t="inlineStr">
        <is>
          <t>NOVO</t>
        </is>
      </c>
      <c r="G121" s="83" t="n"/>
      <c r="H121" s="107" t="n">
        <v>0.2</v>
      </c>
      <c r="I121" s="83" t="n"/>
      <c r="J121" s="105" t="inlineStr">
        <is>
          <t>STANDBY</t>
        </is>
      </c>
      <c r="K121" s="105" t="inlineStr">
        <is>
          <t>FEV</t>
        </is>
      </c>
      <c r="L121" s="105" t="n"/>
      <c r="M121" s="105" t="inlineStr">
        <is>
          <t>FRIO</t>
        </is>
      </c>
    </row>
    <row r="122" ht="15" customHeight="1" s="49">
      <c r="A122" s="105" t="inlineStr">
        <is>
          <t>HUDSON</t>
        </is>
      </c>
      <c r="B122" s="105" t="inlineStr">
        <is>
          <t>São Paulo - Matriz</t>
        </is>
      </c>
      <c r="C122" s="106" t="n"/>
      <c r="D122" s="105" t="inlineStr">
        <is>
          <t>SUPERMERCADO DO POVO LTDA</t>
        </is>
      </c>
      <c r="E122" s="105" t="inlineStr">
        <is>
          <t>PIS E COFINS INSUMOS</t>
        </is>
      </c>
      <c r="F122" s="105" t="inlineStr">
        <is>
          <t>NOVO</t>
        </is>
      </c>
      <c r="G122" s="83" t="n"/>
      <c r="H122" s="107" t="n">
        <v>0.2</v>
      </c>
      <c r="I122" s="83" t="n"/>
      <c r="J122" s="105" t="inlineStr">
        <is>
          <t>STANDBY</t>
        </is>
      </c>
      <c r="K122" s="105" t="inlineStr">
        <is>
          <t>FEV</t>
        </is>
      </c>
      <c r="L122" s="105" t="n"/>
      <c r="M122" s="105" t="inlineStr">
        <is>
          <t>FRIO</t>
        </is>
      </c>
    </row>
    <row r="123" ht="15" customHeight="1" s="49">
      <c r="A123" s="105" t="inlineStr">
        <is>
          <t>HUDSON</t>
        </is>
      </c>
      <c r="B123" s="105" t="inlineStr">
        <is>
          <t>São Paulo - Matriz</t>
        </is>
      </c>
      <c r="C123" s="106" t="n"/>
      <c r="D123" s="105" t="inlineStr">
        <is>
          <t>COMERCIO DE ALIMENTOS SAO GABREL LTDA</t>
        </is>
      </c>
      <c r="E123" s="105" t="inlineStr">
        <is>
          <t>SUBV IRPJ CSLL- ICMS</t>
        </is>
      </c>
      <c r="F123" s="105" t="inlineStr">
        <is>
          <t>NOVO</t>
        </is>
      </c>
      <c r="G123" s="83" t="n"/>
      <c r="H123" s="107" t="n">
        <v>0.2</v>
      </c>
      <c r="I123" s="83" t="n"/>
      <c r="J123" s="105" t="inlineStr">
        <is>
          <t>BASE</t>
        </is>
      </c>
      <c r="K123" s="105" t="inlineStr">
        <is>
          <t>FEV</t>
        </is>
      </c>
      <c r="L123" s="105" t="n"/>
      <c r="M123" s="105" t="inlineStr">
        <is>
          <t>QUENTE</t>
        </is>
      </c>
    </row>
    <row r="124" ht="15" customHeight="1" s="49">
      <c r="A124" s="105" t="inlineStr">
        <is>
          <t>HUDSON</t>
        </is>
      </c>
      <c r="B124" s="105" t="inlineStr">
        <is>
          <t>São Paulo - Matriz</t>
        </is>
      </c>
      <c r="C124" s="106" t="n"/>
      <c r="D124" s="105" t="inlineStr">
        <is>
          <t>SG COM. DE ALIMENTOS LTDA</t>
        </is>
      </c>
      <c r="E124" s="105" t="inlineStr">
        <is>
          <t>PIS E COFINS INSUMOS</t>
        </is>
      </c>
      <c r="F124" s="105" t="inlineStr">
        <is>
          <t>NOVO</t>
        </is>
      </c>
      <c r="G124" s="83" t="n">
        <v>625999</v>
      </c>
      <c r="H124" s="107" t="n">
        <v>0.2</v>
      </c>
      <c r="I124" s="83" t="n">
        <v>125199.8</v>
      </c>
      <c r="J124" s="105" t="inlineStr">
        <is>
          <t>STANDBY</t>
        </is>
      </c>
      <c r="K124" s="105" t="inlineStr">
        <is>
          <t>FEV</t>
        </is>
      </c>
      <c r="L124" s="105" t="n"/>
      <c r="M124" s="105" t="inlineStr">
        <is>
          <t>FRIO</t>
        </is>
      </c>
    </row>
    <row r="125" ht="15" customHeight="1" s="49">
      <c r="A125" s="105" t="inlineStr">
        <is>
          <t>HUDSON</t>
        </is>
      </c>
      <c r="B125" s="105" t="inlineStr">
        <is>
          <t>São Paulo - Matriz</t>
        </is>
      </c>
      <c r="C125" s="106" t="n"/>
      <c r="D125" s="105" t="inlineStr">
        <is>
          <t>LR GARZELLA LTDA</t>
        </is>
      </c>
      <c r="E125" s="105" t="inlineStr">
        <is>
          <t>PIS E COFINS INSUMOS</t>
        </is>
      </c>
      <c r="F125" s="105" t="inlineStr">
        <is>
          <t>NOVO</t>
        </is>
      </c>
      <c r="G125" s="83" t="n"/>
      <c r="H125" s="107" t="n">
        <v>0.2</v>
      </c>
      <c r="I125" s="83" t="n"/>
      <c r="J125" s="105" t="inlineStr">
        <is>
          <t>STANDBY</t>
        </is>
      </c>
      <c r="K125" s="105" t="inlineStr">
        <is>
          <t>FEV</t>
        </is>
      </c>
      <c r="L125" s="105" t="n"/>
      <c r="M125" s="105" t="inlineStr">
        <is>
          <t>FRIO</t>
        </is>
      </c>
    </row>
    <row r="126" ht="15" customHeight="1" s="49">
      <c r="A126" s="105" t="inlineStr">
        <is>
          <t>HUDSON</t>
        </is>
      </c>
      <c r="B126" s="105" t="inlineStr">
        <is>
          <t>São Paulo - Matriz</t>
        </is>
      </c>
      <c r="C126" s="106" t="n"/>
      <c r="D126" s="105" t="inlineStr">
        <is>
          <t>VENEZA COMERCIO LTDA</t>
        </is>
      </c>
      <c r="E126" s="105" t="inlineStr">
        <is>
          <t>PIS E COFINS INSUMOS</t>
        </is>
      </c>
      <c r="F126" s="105" t="inlineStr">
        <is>
          <t>NOVO</t>
        </is>
      </c>
      <c r="G126" s="83" t="n"/>
      <c r="H126" s="107" t="n">
        <v>0.2</v>
      </c>
      <c r="I126" s="83" t="n"/>
      <c r="J126" s="105" t="inlineStr">
        <is>
          <t>STANDBY</t>
        </is>
      </c>
      <c r="K126" s="105" t="inlineStr">
        <is>
          <t>FEV</t>
        </is>
      </c>
      <c r="L126" s="105" t="n"/>
      <c r="M126" s="105" t="inlineStr">
        <is>
          <t>FRIO</t>
        </is>
      </c>
    </row>
    <row r="127" ht="15" customHeight="1" s="49">
      <c r="A127" s="105" t="inlineStr">
        <is>
          <t>HUDSON</t>
        </is>
      </c>
      <c r="B127" s="105" t="inlineStr">
        <is>
          <t>São Paulo - Matriz</t>
        </is>
      </c>
      <c r="C127" s="106" t="n"/>
      <c r="D127" s="105" t="inlineStr">
        <is>
          <t>GM COMERCIO LTDA</t>
        </is>
      </c>
      <c r="E127" s="105" t="inlineStr">
        <is>
          <t>PIS E COFINS INSUMOS</t>
        </is>
      </c>
      <c r="F127" s="105" t="inlineStr">
        <is>
          <t>NOVO</t>
        </is>
      </c>
      <c r="G127" s="83" t="n"/>
      <c r="H127" s="107" t="n">
        <v>0.2</v>
      </c>
      <c r="I127" s="83" t="n"/>
      <c r="J127" s="105" t="inlineStr">
        <is>
          <t>STANDBY</t>
        </is>
      </c>
      <c r="K127" s="105" t="inlineStr">
        <is>
          <t>FEV</t>
        </is>
      </c>
      <c r="L127" s="105" t="n"/>
      <c r="M127" s="105" t="inlineStr">
        <is>
          <t>FRIO</t>
        </is>
      </c>
    </row>
    <row r="128" ht="15" customHeight="1" s="49">
      <c r="A128" s="105" t="inlineStr">
        <is>
          <t>HUDSON</t>
        </is>
      </c>
      <c r="B128" s="105" t="inlineStr">
        <is>
          <t>São Paulo - Matriz</t>
        </is>
      </c>
      <c r="C128" s="106" t="n"/>
      <c r="D128" s="105" t="inlineStr">
        <is>
          <t>CASTELANDIA COMERCIO LTDA</t>
        </is>
      </c>
      <c r="E128" s="105" t="inlineStr">
        <is>
          <t>PIS E COFINS INSUMOS</t>
        </is>
      </c>
      <c r="F128" s="105" t="inlineStr">
        <is>
          <t>NOVO</t>
        </is>
      </c>
      <c r="G128" s="83" t="n"/>
      <c r="H128" s="107" t="n">
        <v>0.2</v>
      </c>
      <c r="I128" s="83" t="n"/>
      <c r="J128" s="105" t="inlineStr">
        <is>
          <t>STANDBY</t>
        </is>
      </c>
      <c r="K128" s="105" t="inlineStr">
        <is>
          <t>FEV</t>
        </is>
      </c>
      <c r="L128" s="105" t="n"/>
      <c r="M128" s="105" t="inlineStr">
        <is>
          <t>FRIO</t>
        </is>
      </c>
    </row>
    <row r="129" ht="15" customHeight="1" s="49">
      <c r="A129" s="105" t="inlineStr">
        <is>
          <t>HUDSON</t>
        </is>
      </c>
      <c r="B129" s="105" t="inlineStr">
        <is>
          <t>São Paulo - Matriz</t>
        </is>
      </c>
      <c r="C129" s="106" t="n"/>
      <c r="D129" s="105" t="inlineStr">
        <is>
          <t>JMX SOLUÇOES EM LED LTDA</t>
        </is>
      </c>
      <c r="E129" s="105" t="inlineStr">
        <is>
          <t>IRPJ E CSLL</t>
        </is>
      </c>
      <c r="F129" s="105" t="inlineStr">
        <is>
          <t>NOVO</t>
        </is>
      </c>
      <c r="G129" s="83" t="n">
        <v>27351</v>
      </c>
      <c r="H129" s="107" t="n">
        <v>0.18</v>
      </c>
      <c r="I129" s="83" t="n">
        <v>4923.18</v>
      </c>
      <c r="J129" s="105" t="inlineStr">
        <is>
          <t>BASE</t>
        </is>
      </c>
      <c r="K129" s="105" t="inlineStr">
        <is>
          <t>FEV</t>
        </is>
      </c>
      <c r="L129" s="105" t="n"/>
      <c r="M129" s="105" t="inlineStr">
        <is>
          <t>QUENTE</t>
        </is>
      </c>
    </row>
    <row r="130" ht="15" customHeight="1" s="49">
      <c r="A130" s="105" t="inlineStr">
        <is>
          <t>HUDSON</t>
        </is>
      </c>
      <c r="B130" s="105" t="inlineStr">
        <is>
          <t>São Paulo - Matriz</t>
        </is>
      </c>
      <c r="C130" s="106" t="n"/>
      <c r="D130" s="105" t="inlineStr">
        <is>
          <t>JMX SOLUÇOES EM LED LTDA</t>
        </is>
      </c>
      <c r="E130" s="105" t="inlineStr">
        <is>
          <t>PIS E COFINS</t>
        </is>
      </c>
      <c r="F130" s="105" t="inlineStr">
        <is>
          <t>NOVO</t>
        </is>
      </c>
      <c r="G130" s="83" t="n">
        <v>250603</v>
      </c>
      <c r="H130" s="107" t="n">
        <v>0.2</v>
      </c>
      <c r="I130" s="83" t="n">
        <v>50120.6</v>
      </c>
      <c r="J130" s="105" t="inlineStr">
        <is>
          <t>BASE</t>
        </is>
      </c>
      <c r="K130" s="105" t="inlineStr">
        <is>
          <t>FEV</t>
        </is>
      </c>
      <c r="L130" s="105" t="n"/>
      <c r="M130" s="105" t="inlineStr">
        <is>
          <t>QUENTE</t>
        </is>
      </c>
    </row>
    <row r="131" ht="15" customHeight="1" s="49">
      <c r="A131" s="105" t="inlineStr">
        <is>
          <t>HUDSON</t>
        </is>
      </c>
      <c r="B131" s="105" t="inlineStr">
        <is>
          <t>São Paulo - Matriz</t>
        </is>
      </c>
      <c r="C131" s="106" t="n"/>
      <c r="D131" s="105" t="inlineStr">
        <is>
          <t>ROSSANA LORENZO BARBOZA</t>
        </is>
      </c>
      <c r="E131" s="105" t="inlineStr">
        <is>
          <t>PREVIDENCIARIO</t>
        </is>
      </c>
      <c r="F131" s="105" t="inlineStr">
        <is>
          <t>UPSELL</t>
        </is>
      </c>
      <c r="G131" s="83" t="n">
        <v>76214.13</v>
      </c>
      <c r="H131" s="107" t="n">
        <v>0.2</v>
      </c>
      <c r="I131" s="83" t="n">
        <v>15242.83</v>
      </c>
      <c r="J131" s="105" t="inlineStr">
        <is>
          <t>BASE</t>
        </is>
      </c>
      <c r="K131" s="105" t="inlineStr">
        <is>
          <t>FEV</t>
        </is>
      </c>
      <c r="L131" s="105" t="n"/>
      <c r="M131" s="105" t="n"/>
    </row>
    <row r="132" ht="15" customHeight="1" s="49">
      <c r="A132" s="105" t="inlineStr">
        <is>
          <t>HUDSON</t>
        </is>
      </c>
      <c r="B132" s="105" t="inlineStr">
        <is>
          <t>São Paulo - Matriz</t>
        </is>
      </c>
      <c r="C132" s="106" t="n"/>
      <c r="D132" s="105" t="inlineStr">
        <is>
          <t>SUPERMERCADO NIDOBOX LTDA</t>
        </is>
      </c>
      <c r="E132" s="105" t="inlineStr">
        <is>
          <t>PREVIDENCIARIO</t>
        </is>
      </c>
      <c r="F132" s="105" t="inlineStr">
        <is>
          <t>UPSELL</t>
        </is>
      </c>
      <c r="G132" s="83" t="n">
        <v>2256095.6</v>
      </c>
      <c r="H132" s="107" t="n">
        <v>0.2</v>
      </c>
      <c r="I132" s="83" t="n">
        <v>451219.12</v>
      </c>
      <c r="J132" s="105" t="inlineStr">
        <is>
          <t>BASE</t>
        </is>
      </c>
      <c r="K132" s="105" t="inlineStr">
        <is>
          <t>FEV</t>
        </is>
      </c>
      <c r="L132" s="105" t="n"/>
      <c r="M132" s="105" t="n"/>
    </row>
    <row r="133" ht="15" customHeight="1" s="49">
      <c r="A133" s="105" t="inlineStr">
        <is>
          <t>HUDSON</t>
        </is>
      </c>
      <c r="B133" s="105" t="inlineStr">
        <is>
          <t>São Paulo - Matriz</t>
        </is>
      </c>
      <c r="C133" s="106" t="n"/>
      <c r="D133" s="105" t="inlineStr">
        <is>
          <t>N C LIMA SUPERMERCADO LTDA</t>
        </is>
      </c>
      <c r="E133" s="105" t="inlineStr">
        <is>
          <t xml:space="preserve">PREVIDENCIARIO </t>
        </is>
      </c>
      <c r="F133" s="105" t="inlineStr">
        <is>
          <t>UPSELL</t>
        </is>
      </c>
      <c r="G133" s="83" t="n">
        <v>602513.6</v>
      </c>
      <c r="H133" s="107" t="n">
        <v>0.2</v>
      </c>
      <c r="I133" s="83" t="n">
        <v>120502.72</v>
      </c>
      <c r="J133" s="105" t="inlineStr">
        <is>
          <t>BASE</t>
        </is>
      </c>
      <c r="K133" s="105" t="inlineStr">
        <is>
          <t>FEV</t>
        </is>
      </c>
      <c r="L133" s="105" t="n"/>
      <c r="M133" s="105" t="inlineStr">
        <is>
          <t>FRIO</t>
        </is>
      </c>
    </row>
    <row r="134" ht="15" customHeight="1" s="49">
      <c r="A134" s="105" t="inlineStr">
        <is>
          <t>HUDSON</t>
        </is>
      </c>
      <c r="B134" s="105" t="inlineStr">
        <is>
          <t>São Paulo - Matriz</t>
        </is>
      </c>
      <c r="C134" s="106" t="n"/>
      <c r="D134" s="105" t="inlineStr">
        <is>
          <t>SUPERMERCADO NIDOBOX LTDA</t>
        </is>
      </c>
      <c r="E134" s="105" t="inlineStr">
        <is>
          <t xml:space="preserve">PREVIDENCIARIO </t>
        </is>
      </c>
      <c r="F134" s="105" t="inlineStr">
        <is>
          <t>UPSELL</t>
        </is>
      </c>
      <c r="G134" s="83" t="n">
        <v>2256095.6</v>
      </c>
      <c r="H134" s="107" t="n">
        <v>0.2</v>
      </c>
      <c r="I134" s="83" t="n">
        <v>451219.12</v>
      </c>
      <c r="J134" s="105" t="inlineStr">
        <is>
          <t>BASE</t>
        </is>
      </c>
      <c r="K134" s="105" t="inlineStr">
        <is>
          <t>FEV</t>
        </is>
      </c>
      <c r="L134" s="105" t="n"/>
      <c r="M134" s="105" t="inlineStr">
        <is>
          <t>QUENTE</t>
        </is>
      </c>
    </row>
    <row r="135" ht="15" customHeight="1" s="49">
      <c r="A135" s="105" t="inlineStr">
        <is>
          <t>HUDSON</t>
        </is>
      </c>
      <c r="B135" s="105" t="inlineStr">
        <is>
          <t>São Paulo - Matriz</t>
        </is>
      </c>
      <c r="C135" s="106" t="n"/>
      <c r="D135" s="105" t="inlineStr">
        <is>
          <t>BATISTA QUADROS &amp; CIA LTDA</t>
        </is>
      </c>
      <c r="E135" s="105" t="inlineStr">
        <is>
          <t xml:space="preserve">PREVIDENCIARIO </t>
        </is>
      </c>
      <c r="F135" s="105" t="inlineStr">
        <is>
          <t>UPSELL</t>
        </is>
      </c>
      <c r="G135" s="83" t="n">
        <v>620166.96</v>
      </c>
      <c r="H135" s="107" t="n">
        <v>0.2</v>
      </c>
      <c r="I135" s="83" t="n">
        <v>124033.392</v>
      </c>
      <c r="J135" s="105" t="inlineStr">
        <is>
          <t>BASE</t>
        </is>
      </c>
      <c r="K135" s="105" t="inlineStr">
        <is>
          <t>FEV</t>
        </is>
      </c>
      <c r="L135" s="105" t="n"/>
      <c r="M135" s="105" t="inlineStr">
        <is>
          <t>QUENTE</t>
        </is>
      </c>
    </row>
    <row r="136" ht="15" customHeight="1" s="49">
      <c r="A136" s="105" t="inlineStr">
        <is>
          <t>HUDSON</t>
        </is>
      </c>
      <c r="B136" s="105" t="inlineStr">
        <is>
          <t>São Paulo - Matriz</t>
        </is>
      </c>
      <c r="C136" s="106" t="n"/>
      <c r="D136" s="105" t="inlineStr">
        <is>
          <t>SUPERMERCADO TELEFRANGO LTDA</t>
        </is>
      </c>
      <c r="E136" s="105" t="inlineStr">
        <is>
          <t xml:space="preserve">PREVIDENCIARIO </t>
        </is>
      </c>
      <c r="F136" s="105" t="inlineStr">
        <is>
          <t>UPSELL</t>
        </is>
      </c>
      <c r="G136" s="83" t="n">
        <v>599625.9399999999</v>
      </c>
      <c r="H136" s="107" t="n">
        <v>0.2</v>
      </c>
      <c r="I136" s="83" t="n">
        <v>119925.188</v>
      </c>
      <c r="J136" s="105" t="inlineStr">
        <is>
          <t>BASE</t>
        </is>
      </c>
      <c r="K136" s="105" t="inlineStr">
        <is>
          <t>FEV</t>
        </is>
      </c>
      <c r="L136" s="105" t="n"/>
      <c r="M136" s="105" t="inlineStr">
        <is>
          <t>QUENTE</t>
        </is>
      </c>
    </row>
    <row r="137" ht="15" customHeight="1" s="49">
      <c r="A137" s="105" t="inlineStr">
        <is>
          <t>HUDSON</t>
        </is>
      </c>
      <c r="B137" s="105" t="inlineStr">
        <is>
          <t>São Paulo - Matriz</t>
        </is>
      </c>
      <c r="C137" s="106" t="n"/>
      <c r="D137" s="105" t="inlineStr">
        <is>
          <t>CRISPINIANO &amp; FILHOS LTDA</t>
        </is>
      </c>
      <c r="E137" s="105" t="inlineStr">
        <is>
          <t xml:space="preserve">PREVIDENCIARIO </t>
        </is>
      </c>
      <c r="F137" s="105" t="inlineStr">
        <is>
          <t>UPSELL</t>
        </is>
      </c>
      <c r="G137" s="83" t="n">
        <v>202139.21</v>
      </c>
      <c r="H137" s="107" t="n">
        <v>0.2</v>
      </c>
      <c r="I137" s="83" t="n">
        <v>40427.842</v>
      </c>
      <c r="J137" s="105" t="inlineStr">
        <is>
          <t>BASE</t>
        </is>
      </c>
      <c r="K137" s="105" t="inlineStr">
        <is>
          <t>FEV</t>
        </is>
      </c>
      <c r="L137" s="105" t="n"/>
      <c r="M137" s="105" t="inlineStr">
        <is>
          <t>QUENTE</t>
        </is>
      </c>
    </row>
    <row r="138" ht="15" customHeight="1" s="49">
      <c r="A138" s="105" t="inlineStr">
        <is>
          <t>HUDSON</t>
        </is>
      </c>
      <c r="B138" s="105" t="inlineStr">
        <is>
          <t>São Paulo - Matriz</t>
        </is>
      </c>
      <c r="C138" s="106" t="n"/>
      <c r="D138" s="105" t="inlineStr">
        <is>
          <t>DISTRIBUIDORRA DE PECAS RONDONOPOLIS LTDA</t>
        </is>
      </c>
      <c r="E138" s="105" t="inlineStr">
        <is>
          <t xml:space="preserve">PREVIDENCIARIO </t>
        </is>
      </c>
      <c r="F138" s="105" t="inlineStr">
        <is>
          <t>UPSELL</t>
        </is>
      </c>
      <c r="G138" s="83" t="n">
        <v>450762.25</v>
      </c>
      <c r="H138" s="107" t="n">
        <v>0.2</v>
      </c>
      <c r="I138" s="83" t="n">
        <v>90152.45</v>
      </c>
      <c r="J138" s="105" t="inlineStr">
        <is>
          <t>BASE</t>
        </is>
      </c>
      <c r="K138" s="105" t="inlineStr">
        <is>
          <t>FEV</t>
        </is>
      </c>
      <c r="L138" s="105" t="n"/>
      <c r="M138" s="105" t="inlineStr">
        <is>
          <t>QUENTE</t>
        </is>
      </c>
    </row>
    <row r="139" ht="15" customHeight="1" s="49">
      <c r="A139" s="105" t="inlineStr">
        <is>
          <t>HUDSON</t>
        </is>
      </c>
      <c r="B139" s="105" t="inlineStr">
        <is>
          <t>São Paulo - Matriz</t>
        </is>
      </c>
      <c r="C139" s="106" t="n"/>
      <c r="D139" s="105" t="inlineStr">
        <is>
          <t>A R S SUPERMERCADOS LTDA</t>
        </is>
      </c>
      <c r="E139" s="105" t="inlineStr">
        <is>
          <t xml:space="preserve">PREVIDENCIARIO </t>
        </is>
      </c>
      <c r="F139" s="105" t="inlineStr">
        <is>
          <t>UPSELL</t>
        </is>
      </c>
      <c r="G139" s="83" t="n">
        <v>791721.4300000001</v>
      </c>
      <c r="H139" s="107" t="n">
        <v>0.2</v>
      </c>
      <c r="I139" s="83" t="n">
        <v>158344.286</v>
      </c>
      <c r="J139" s="105" t="inlineStr">
        <is>
          <t>BASE</t>
        </is>
      </c>
      <c r="K139" s="105" t="inlineStr">
        <is>
          <t>FEV</t>
        </is>
      </c>
      <c r="L139" s="105" t="n"/>
      <c r="M139" s="105" t="inlineStr">
        <is>
          <t>QUENTE</t>
        </is>
      </c>
    </row>
    <row r="140" ht="15" customHeight="1" s="49">
      <c r="A140" s="105" t="inlineStr">
        <is>
          <t>HUDSON</t>
        </is>
      </c>
      <c r="B140" s="105" t="inlineStr">
        <is>
          <t>São Paulo - Matriz</t>
        </is>
      </c>
      <c r="C140" s="106" t="n"/>
      <c r="D140" s="105" t="inlineStr">
        <is>
          <t>SUPERMERCADO BARATAO LTDA</t>
        </is>
      </c>
      <c r="E140" s="105" t="inlineStr">
        <is>
          <t xml:space="preserve">PREVIDENCIARIO </t>
        </is>
      </c>
      <c r="F140" s="105" t="inlineStr">
        <is>
          <t>UPSELL</t>
        </is>
      </c>
      <c r="G140" s="83" t="n">
        <v>711565.87</v>
      </c>
      <c r="H140" s="107" t="n">
        <v>0.2</v>
      </c>
      <c r="I140" s="83" t="n">
        <v>142313.174</v>
      </c>
      <c r="J140" s="105" t="inlineStr">
        <is>
          <t>BASE</t>
        </is>
      </c>
      <c r="K140" s="105" t="inlineStr">
        <is>
          <t>FEV</t>
        </is>
      </c>
      <c r="L140" s="105" t="n"/>
      <c r="M140" s="105" t="inlineStr">
        <is>
          <t>QUENTE</t>
        </is>
      </c>
    </row>
    <row r="141" ht="15" customHeight="1" s="49">
      <c r="A141" s="105" t="inlineStr">
        <is>
          <t>HUDSON</t>
        </is>
      </c>
      <c r="B141" s="105" t="inlineStr">
        <is>
          <t>São Paulo - Matriz</t>
        </is>
      </c>
      <c r="C141" s="106" t="n"/>
      <c r="D141" s="105" t="inlineStr">
        <is>
          <t>M.S DIAGNOSTIA LTDA</t>
        </is>
      </c>
      <c r="E141" s="105" t="inlineStr">
        <is>
          <t xml:space="preserve">PREVIDENCIARIO </t>
        </is>
      </c>
      <c r="F141" s="105" t="inlineStr">
        <is>
          <t>UPSELL</t>
        </is>
      </c>
      <c r="G141" s="83" t="n">
        <v>2300249.08</v>
      </c>
      <c r="H141" s="107" t="n">
        <v>0.2</v>
      </c>
      <c r="I141" s="83" t="n">
        <v>460049.82</v>
      </c>
      <c r="J141" s="105" t="inlineStr">
        <is>
          <t>BASE</t>
        </is>
      </c>
      <c r="K141" s="105" t="inlineStr">
        <is>
          <t>MAR</t>
        </is>
      </c>
      <c r="L141" s="105" t="n"/>
      <c r="M141" s="105" t="inlineStr">
        <is>
          <t>QUENTE</t>
        </is>
      </c>
    </row>
    <row r="142" ht="15" customHeight="1" s="49">
      <c r="A142" s="105" t="inlineStr">
        <is>
          <t>HUDSON</t>
        </is>
      </c>
      <c r="B142" s="105" t="inlineStr">
        <is>
          <t>São Paulo - Matriz</t>
        </is>
      </c>
      <c r="C142" s="106" t="n"/>
      <c r="D142" s="105" t="inlineStr">
        <is>
          <t xml:space="preserve">UNIFORÇA DISTRIBUIDORA </t>
        </is>
      </c>
      <c r="E142" s="105" t="inlineStr">
        <is>
          <t>IRPJ E CSLL</t>
        </is>
      </c>
      <c r="F142" s="105" t="inlineStr">
        <is>
          <t>NOVO</t>
        </is>
      </c>
      <c r="G142" s="83" t="n">
        <v>354416</v>
      </c>
      <c r="H142" s="107" t="n">
        <v>0.2</v>
      </c>
      <c r="I142" s="83" t="n">
        <v>70883.2</v>
      </c>
      <c r="J142" s="105" t="inlineStr">
        <is>
          <t>BASE</t>
        </is>
      </c>
      <c r="K142" s="105" t="inlineStr">
        <is>
          <t>FEV</t>
        </is>
      </c>
      <c r="L142" s="105" t="n"/>
      <c r="M142" s="105" t="n"/>
    </row>
    <row r="143" ht="15" customHeight="1" s="49">
      <c r="A143" s="105" t="inlineStr">
        <is>
          <t>HUDSON</t>
        </is>
      </c>
      <c r="B143" s="105" t="inlineStr">
        <is>
          <t>São Paulo - Matriz</t>
        </is>
      </c>
      <c r="C143" s="106" t="n"/>
      <c r="D143" s="105" t="inlineStr">
        <is>
          <t>CARTONAGEM SAO JOSE LTDA</t>
        </is>
      </c>
      <c r="E143" s="105" t="inlineStr">
        <is>
          <t>IRPJ E CSLL</t>
        </is>
      </c>
      <c r="F143" s="105" t="inlineStr">
        <is>
          <t>NOVO</t>
        </is>
      </c>
      <c r="G143" s="83" t="n">
        <v>1205343</v>
      </c>
      <c r="H143" s="107" t="n">
        <v>0.2</v>
      </c>
      <c r="I143" s="83" t="n">
        <v>241068.6</v>
      </c>
      <c r="J143" s="105" t="inlineStr">
        <is>
          <t>ASSINADO</t>
        </is>
      </c>
      <c r="K143" s="105" t="inlineStr">
        <is>
          <t>MAR</t>
        </is>
      </c>
      <c r="L143" s="105" t="n"/>
      <c r="M143" s="105" t="n"/>
    </row>
    <row r="144" ht="15" customHeight="1" s="49">
      <c r="A144" s="105" t="inlineStr">
        <is>
          <t>HUDSON</t>
        </is>
      </c>
      <c r="B144" s="105" t="inlineStr">
        <is>
          <t>São Paulo - Matriz</t>
        </is>
      </c>
      <c r="C144" s="106" t="n"/>
      <c r="D144" s="105" t="inlineStr">
        <is>
          <t>CARTONAGEM SAO JOSE LTDA</t>
        </is>
      </c>
      <c r="E144" s="105" t="inlineStr">
        <is>
          <t>PIS E CONFINS</t>
        </is>
      </c>
      <c r="F144" s="105" t="inlineStr">
        <is>
          <t>NOVO</t>
        </is>
      </c>
      <c r="G144" s="83" t="n">
        <v>388129</v>
      </c>
      <c r="H144" s="107" t="n">
        <v>0.13</v>
      </c>
      <c r="I144" s="83" t="n">
        <v>50456.77</v>
      </c>
      <c r="J144" s="105" t="inlineStr">
        <is>
          <t>ASSINADO</t>
        </is>
      </c>
      <c r="K144" s="105" t="inlineStr">
        <is>
          <t>MAR</t>
        </is>
      </c>
      <c r="L144" s="105" t="inlineStr">
        <is>
          <t>ABR</t>
        </is>
      </c>
      <c r="M144" s="105" t="inlineStr">
        <is>
          <t>QUENTE</t>
        </is>
      </c>
    </row>
    <row r="145" ht="15" customHeight="1" s="49">
      <c r="A145" s="105" t="inlineStr">
        <is>
          <t>HUDSON</t>
        </is>
      </c>
      <c r="B145" s="105" t="inlineStr">
        <is>
          <t>São Paulo - Matriz</t>
        </is>
      </c>
      <c r="C145" s="106" t="n"/>
      <c r="D145" s="105" t="inlineStr">
        <is>
          <t>CARTONAGEM SAO JOSE LTDA</t>
        </is>
      </c>
      <c r="E145" s="105" t="inlineStr">
        <is>
          <t>PREVIDENCIARIO</t>
        </is>
      </c>
      <c r="F145" s="105" t="inlineStr">
        <is>
          <t>UPSELL</t>
        </is>
      </c>
      <c r="G145" s="83" t="n">
        <v>834421.4399999999</v>
      </c>
      <c r="H145" s="107" t="n">
        <v>0.13</v>
      </c>
      <c r="I145" s="83" t="n">
        <v>166884.29</v>
      </c>
      <c r="J145" s="105" t="inlineStr">
        <is>
          <t>ASSINADO</t>
        </is>
      </c>
      <c r="K145" s="105" t="inlineStr">
        <is>
          <t>ABR</t>
        </is>
      </c>
      <c r="L145" s="105" t="inlineStr">
        <is>
          <t>ABR</t>
        </is>
      </c>
      <c r="M145" s="105" t="inlineStr">
        <is>
          <t>QUENTE</t>
        </is>
      </c>
    </row>
    <row r="146" ht="15" customHeight="1" s="49">
      <c r="A146" s="105" t="inlineStr">
        <is>
          <t>HUDSON</t>
        </is>
      </c>
      <c r="B146" s="105" t="inlineStr">
        <is>
          <t>São Paulo - Matriz</t>
        </is>
      </c>
      <c r="C146" s="106" t="n"/>
      <c r="D146" s="105" t="inlineStr">
        <is>
          <t>MERCANTIL NOVO SAO LUIS LTDA</t>
        </is>
      </c>
      <c r="E146" s="105" t="inlineStr">
        <is>
          <t>IRPJ E CSLL</t>
        </is>
      </c>
      <c r="F146" s="105" t="inlineStr">
        <is>
          <t>NOVO</t>
        </is>
      </c>
      <c r="G146" s="83" t="n">
        <v>524679</v>
      </c>
      <c r="H146" s="107" t="n">
        <v>0.2</v>
      </c>
      <c r="I146" s="83" t="n">
        <v>104935.8</v>
      </c>
      <c r="J146" s="105" t="inlineStr">
        <is>
          <t>BASE</t>
        </is>
      </c>
      <c r="K146" s="105" t="inlineStr">
        <is>
          <t>ABR</t>
        </is>
      </c>
      <c r="L146" s="105" t="n"/>
      <c r="M146" s="105" t="n"/>
    </row>
    <row r="147" ht="15" customHeight="1" s="49">
      <c r="A147" s="105" t="inlineStr">
        <is>
          <t>LEANDRO</t>
        </is>
      </c>
      <c r="B147" s="105" t="inlineStr">
        <is>
          <t>Marília e região</t>
        </is>
      </c>
      <c r="C147" s="106" t="n"/>
      <c r="D147" s="105" t="inlineStr">
        <is>
          <t>MERCADO GS DE GARÇA LTDA</t>
        </is>
      </c>
      <c r="E147" s="105" t="inlineStr">
        <is>
          <t>EXCLUSAO ICMS ST</t>
        </is>
      </c>
      <c r="F147" s="105" t="inlineStr">
        <is>
          <t>NOVO</t>
        </is>
      </c>
      <c r="G147" s="83" t="n">
        <v>354750</v>
      </c>
      <c r="H147" s="107" t="n">
        <v>0.25</v>
      </c>
      <c r="I147" s="83" t="n">
        <v>88687.5</v>
      </c>
      <c r="J147" s="105" t="inlineStr">
        <is>
          <t>BASE</t>
        </is>
      </c>
      <c r="K147" s="105" t="inlineStr">
        <is>
          <t>DEZ</t>
        </is>
      </c>
      <c r="L147" s="105" t="n"/>
      <c r="M147" s="105" t="inlineStr">
        <is>
          <t>MORNO</t>
        </is>
      </c>
    </row>
    <row r="148" ht="15" customHeight="1" s="49">
      <c r="A148" s="105" t="inlineStr">
        <is>
          <t>LEANDRO</t>
        </is>
      </c>
      <c r="B148" s="105" t="inlineStr">
        <is>
          <t>Marília e região</t>
        </is>
      </c>
      <c r="C148" s="106" t="n"/>
      <c r="D148" s="105" t="inlineStr">
        <is>
          <t>JAIR FLORENTINO</t>
        </is>
      </c>
      <c r="E148" s="105" t="inlineStr">
        <is>
          <t>SUBV IRPJ E CSLL -ICMS</t>
        </is>
      </c>
      <c r="F148" s="105" t="inlineStr">
        <is>
          <t>NOVO</t>
        </is>
      </c>
      <c r="G148" s="83" t="n">
        <v>42921</v>
      </c>
      <c r="H148" s="107" t="n">
        <v>0.3</v>
      </c>
      <c r="I148" s="83" t="n">
        <v>141572.71</v>
      </c>
      <c r="J148" s="105" t="inlineStr">
        <is>
          <t>ASSINADO</t>
        </is>
      </c>
      <c r="K148" s="105" t="inlineStr">
        <is>
          <t>DEZ</t>
        </is>
      </c>
      <c r="L148" s="105" t="inlineStr">
        <is>
          <t>FEV</t>
        </is>
      </c>
      <c r="M148" s="105" t="inlineStr">
        <is>
          <t>QUENTE</t>
        </is>
      </c>
    </row>
    <row r="149" ht="15" customHeight="1" s="49">
      <c r="A149" s="105" t="inlineStr">
        <is>
          <t>LEANDRO</t>
        </is>
      </c>
      <c r="B149" s="105" t="inlineStr">
        <is>
          <t>Marília e região</t>
        </is>
      </c>
      <c r="C149" s="106" t="n"/>
      <c r="D149" s="105" t="inlineStr">
        <is>
          <t>JAIR FLORENTINO</t>
        </is>
      </c>
      <c r="E149" s="105" t="inlineStr">
        <is>
          <t>PIS COFINS INSUMOS</t>
        </is>
      </c>
      <c r="F149" s="105" t="inlineStr">
        <is>
          <t>NOVO</t>
        </is>
      </c>
      <c r="G149" s="83" t="n">
        <v>265856</v>
      </c>
      <c r="H149" s="107" t="n">
        <v>0.3</v>
      </c>
      <c r="I149" s="83" t="n">
        <v>79756.8</v>
      </c>
      <c r="J149" s="105" t="inlineStr">
        <is>
          <t>ASSINADO</t>
        </is>
      </c>
      <c r="K149" s="105" t="inlineStr">
        <is>
          <t>DEZ</t>
        </is>
      </c>
      <c r="L149" s="105" t="inlineStr">
        <is>
          <t>FEV</t>
        </is>
      </c>
      <c r="M149" s="105" t="inlineStr">
        <is>
          <t>QUENTE</t>
        </is>
      </c>
    </row>
    <row r="150" ht="15" customHeight="1" s="49">
      <c r="A150" s="105" t="inlineStr">
        <is>
          <t>LEANDRO</t>
        </is>
      </c>
      <c r="B150" s="105" t="inlineStr">
        <is>
          <t>Marília e região</t>
        </is>
      </c>
      <c r="C150" s="106" t="n"/>
      <c r="D150" s="105" t="inlineStr">
        <is>
          <t>JAIR FLORENTINO</t>
        </is>
      </c>
      <c r="E150" s="105" t="inlineStr">
        <is>
          <t>EXCLUSAO ICMS ST BASE PIS COFINS</t>
        </is>
      </c>
      <c r="F150" s="105" t="inlineStr">
        <is>
          <t>NOVO</t>
        </is>
      </c>
      <c r="G150" s="83" t="n">
        <v>764641</v>
      </c>
      <c r="H150" s="107" t="n">
        <v>0.3</v>
      </c>
      <c r="I150" s="83" t="n">
        <v>229392.3</v>
      </c>
      <c r="J150" s="105" t="inlineStr">
        <is>
          <t>ASSINADO</t>
        </is>
      </c>
      <c r="K150" s="105" t="inlineStr">
        <is>
          <t>DEZ</t>
        </is>
      </c>
      <c r="L150" s="105" t="inlineStr">
        <is>
          <t>FEV</t>
        </is>
      </c>
      <c r="M150" s="105" t="inlineStr">
        <is>
          <t>QUENTE</t>
        </is>
      </c>
    </row>
    <row r="151" ht="15" customHeight="1" s="49">
      <c r="A151" s="105" t="inlineStr">
        <is>
          <t>LEANDRO</t>
        </is>
      </c>
      <c r="B151" s="105" t="inlineStr">
        <is>
          <t>Marília e região</t>
        </is>
      </c>
      <c r="C151" s="106" t="n"/>
      <c r="D151" s="105" t="inlineStr">
        <is>
          <t>JAIR FLORENTINO</t>
        </is>
      </c>
      <c r="E151" s="105" t="inlineStr">
        <is>
          <t xml:space="preserve">PREVIDENCIARIO </t>
        </is>
      </c>
      <c r="F151" s="105" t="inlineStr">
        <is>
          <t>NOVO</t>
        </is>
      </c>
      <c r="G151" s="83" t="n">
        <v>96967</v>
      </c>
      <c r="H151" s="107" t="n">
        <v>0.3</v>
      </c>
      <c r="I151" s="83" t="n">
        <v>29090.1</v>
      </c>
      <c r="J151" s="105" t="inlineStr">
        <is>
          <t>ASSINADO</t>
        </is>
      </c>
      <c r="K151" s="105" t="inlineStr">
        <is>
          <t>DEZ</t>
        </is>
      </c>
      <c r="L151" s="105" t="inlineStr">
        <is>
          <t>FEV</t>
        </is>
      </c>
      <c r="M151" s="105" t="inlineStr">
        <is>
          <t>QUENTE</t>
        </is>
      </c>
    </row>
    <row r="152" ht="15" customHeight="1" s="49">
      <c r="A152" s="105" t="inlineStr">
        <is>
          <t>LEANDRO</t>
        </is>
      </c>
      <c r="B152" s="105" t="inlineStr">
        <is>
          <t>Marília e região</t>
        </is>
      </c>
      <c r="C152" s="106" t="n"/>
      <c r="D152" s="105" t="inlineStr">
        <is>
          <t>ULIAN SUPERMERCADO LTDA</t>
        </is>
      </c>
      <c r="E152" s="105" t="inlineStr">
        <is>
          <t>SUBV IRPJ E CSLL -ICMS</t>
        </is>
      </c>
      <c r="F152" s="105" t="inlineStr">
        <is>
          <t>NOVO</t>
        </is>
      </c>
      <c r="G152" s="83" t="n">
        <v>65136</v>
      </c>
      <c r="H152" s="107" t="n">
        <v>0.3</v>
      </c>
      <c r="I152" s="83" t="n">
        <v>19540.8</v>
      </c>
      <c r="J152" s="105" t="inlineStr">
        <is>
          <t>BASE</t>
        </is>
      </c>
      <c r="K152" s="105" t="inlineStr">
        <is>
          <t>DEZ</t>
        </is>
      </c>
      <c r="L152" s="105" t="n"/>
      <c r="M152" s="105" t="inlineStr">
        <is>
          <t>FRIO</t>
        </is>
      </c>
    </row>
    <row r="153" ht="15" customHeight="1" s="49">
      <c r="A153" s="105" t="inlineStr">
        <is>
          <t>LEANDRO</t>
        </is>
      </c>
      <c r="B153" s="105" t="inlineStr">
        <is>
          <t>Marília e região</t>
        </is>
      </c>
      <c r="C153" s="106" t="n"/>
      <c r="D153" s="105" t="inlineStr">
        <is>
          <t>ULIAN SUPERMERCADO LTDA</t>
        </is>
      </c>
      <c r="E153" s="105" t="inlineStr">
        <is>
          <t>PIS COFINS INSUMOS</t>
        </is>
      </c>
      <c r="F153" s="105" t="inlineStr">
        <is>
          <t>NOVO</t>
        </is>
      </c>
      <c r="G153" s="83" t="n">
        <v>94836</v>
      </c>
      <c r="H153" s="107" t="n">
        <v>0.3</v>
      </c>
      <c r="I153" s="83" t="n">
        <v>28450.8</v>
      </c>
      <c r="J153" s="105" t="inlineStr">
        <is>
          <t>BASE</t>
        </is>
      </c>
      <c r="K153" s="105" t="inlineStr">
        <is>
          <t>DEZ</t>
        </is>
      </c>
      <c r="L153" s="105" t="n"/>
      <c r="M153" s="105" t="inlineStr">
        <is>
          <t>FRIO</t>
        </is>
      </c>
    </row>
    <row r="154" ht="15" customHeight="1" s="49">
      <c r="A154" s="105" t="inlineStr">
        <is>
          <t>LEANDRO</t>
        </is>
      </c>
      <c r="B154" s="105" t="inlineStr">
        <is>
          <t>Marília e região</t>
        </is>
      </c>
      <c r="C154" s="106" t="n"/>
      <c r="D154" s="105" t="inlineStr">
        <is>
          <t>ULIAN SUPERMERCADO LTDA</t>
        </is>
      </c>
      <c r="E154" s="105" t="inlineStr">
        <is>
          <t>EXCLUSÃO DE ICMS ST BASE PIS COFINS</t>
        </is>
      </c>
      <c r="F154" s="105" t="inlineStr">
        <is>
          <t>NOVO</t>
        </is>
      </c>
      <c r="G154" s="83" t="n">
        <v>133058</v>
      </c>
      <c r="H154" s="107" t="n">
        <v>0.3</v>
      </c>
      <c r="I154" s="83" t="n">
        <v>39917.4</v>
      </c>
      <c r="J154" s="105" t="inlineStr">
        <is>
          <t>BASE</t>
        </is>
      </c>
      <c r="K154" s="105" t="inlineStr">
        <is>
          <t>DEZ</t>
        </is>
      </c>
      <c r="L154" s="105" t="n"/>
      <c r="M154" s="105" t="inlineStr">
        <is>
          <t>FRIO</t>
        </is>
      </c>
    </row>
    <row r="155" ht="15" customHeight="1" s="49">
      <c r="A155" s="105" t="inlineStr">
        <is>
          <t>LEANDRO</t>
        </is>
      </c>
      <c r="B155" s="105" t="inlineStr">
        <is>
          <t>Marília e região</t>
        </is>
      </c>
      <c r="C155" s="106" t="n"/>
      <c r="D155" s="105" t="inlineStr">
        <is>
          <t>MARCIEL FLORENTINO</t>
        </is>
      </c>
      <c r="E155" s="105" t="inlineStr">
        <is>
          <t>PIS COFINS INSUMOS</t>
        </is>
      </c>
      <c r="F155" s="105" t="inlineStr">
        <is>
          <t>NOVO</t>
        </is>
      </c>
      <c r="G155" s="83" t="n">
        <v>61484</v>
      </c>
      <c r="H155" s="107" t="n">
        <v>0.3</v>
      </c>
      <c r="I155" s="83" t="n">
        <v>18445.2</v>
      </c>
      <c r="J155" s="105" t="inlineStr">
        <is>
          <t>ASSINADO</t>
        </is>
      </c>
      <c r="K155" s="105" t="inlineStr">
        <is>
          <t>DEZ</t>
        </is>
      </c>
      <c r="L155" s="105" t="inlineStr">
        <is>
          <t>FEV</t>
        </is>
      </c>
      <c r="M155" s="105" t="inlineStr">
        <is>
          <t>QUENTE</t>
        </is>
      </c>
    </row>
    <row r="156" ht="15" customHeight="1" s="49">
      <c r="A156" s="105" t="inlineStr">
        <is>
          <t>LEANDRO</t>
        </is>
      </c>
      <c r="B156" s="105" t="inlineStr">
        <is>
          <t>Marília e região</t>
        </is>
      </c>
      <c r="C156" s="106" t="n"/>
      <c r="D156" s="105" t="inlineStr">
        <is>
          <t>MARCIEL FLORENTINO</t>
        </is>
      </c>
      <c r="E156" s="105" t="inlineStr">
        <is>
          <t>EXCLUSÃO DE ICMS ST BASE PIS COFINS</t>
        </is>
      </c>
      <c r="F156" s="105" t="inlineStr">
        <is>
          <t>NOVO</t>
        </is>
      </c>
      <c r="G156" s="83" t="n">
        <v>77916</v>
      </c>
      <c r="H156" s="107" t="n">
        <v>0.3</v>
      </c>
      <c r="I156" s="83" t="n">
        <v>23374.8</v>
      </c>
      <c r="J156" s="105" t="inlineStr">
        <is>
          <t>ASSINADO</t>
        </is>
      </c>
      <c r="K156" s="105" t="inlineStr">
        <is>
          <t>DEZ</t>
        </is>
      </c>
      <c r="L156" s="105" t="inlineStr">
        <is>
          <t>FEV</t>
        </is>
      </c>
      <c r="M156" s="105" t="inlineStr">
        <is>
          <t>QUENTE</t>
        </is>
      </c>
    </row>
    <row r="157" ht="15" customHeight="1" s="49">
      <c r="A157" s="105" t="inlineStr">
        <is>
          <t>LEANDRO</t>
        </is>
      </c>
      <c r="B157" s="105" t="inlineStr">
        <is>
          <t>Marília e região</t>
        </is>
      </c>
      <c r="C157" s="106" t="n"/>
      <c r="D157" s="105" t="inlineStr">
        <is>
          <t>MASSON, PESSOA &amp; CIA. LTDA</t>
        </is>
      </c>
      <c r="E157" s="105" t="inlineStr">
        <is>
          <t xml:space="preserve">PREVIDENCIARIO </t>
        </is>
      </c>
      <c r="F157" s="105" t="inlineStr">
        <is>
          <t>UPSELL</t>
        </is>
      </c>
      <c r="G157" s="83" t="n">
        <v>111958.67</v>
      </c>
      <c r="H157" s="107" t="n">
        <v>0.2</v>
      </c>
      <c r="I157" s="83" t="n">
        <v>22391.73</v>
      </c>
      <c r="J157" s="105" t="inlineStr">
        <is>
          <t>ASSINADO</t>
        </is>
      </c>
      <c r="K157" s="105" t="inlineStr">
        <is>
          <t>DEZ</t>
        </is>
      </c>
      <c r="L157" s="105" t="inlineStr">
        <is>
          <t>JAN</t>
        </is>
      </c>
      <c r="M157" s="105" t="inlineStr">
        <is>
          <t>QUENTE</t>
        </is>
      </c>
    </row>
    <row r="158" ht="15" customHeight="1" s="49">
      <c r="A158" s="105" t="inlineStr">
        <is>
          <t>LEANDRO</t>
        </is>
      </c>
      <c r="B158" s="105" t="inlineStr">
        <is>
          <t>Marília e região</t>
        </is>
      </c>
      <c r="C158" s="106" t="n"/>
      <c r="D158" s="105" t="inlineStr">
        <is>
          <t>REBELATO &amp; CIA LTDA</t>
        </is>
      </c>
      <c r="E158" s="105" t="inlineStr">
        <is>
          <t>EXCLUSAO DE ICMS ST BASE PIS COFINS</t>
        </is>
      </c>
      <c r="F158" s="105" t="inlineStr">
        <is>
          <t>NOVO</t>
        </is>
      </c>
      <c r="G158" s="83" t="n">
        <v>96805</v>
      </c>
      <c r="H158" s="107" t="n">
        <v>0.3</v>
      </c>
      <c r="I158" s="83" t="n">
        <v>29041.5</v>
      </c>
      <c r="J158" s="105" t="inlineStr">
        <is>
          <t>BASE</t>
        </is>
      </c>
      <c r="K158" s="105" t="inlineStr">
        <is>
          <t>DEZ</t>
        </is>
      </c>
      <c r="L158" s="105" t="n"/>
      <c r="M158" s="105" t="inlineStr">
        <is>
          <t>FRIO</t>
        </is>
      </c>
    </row>
    <row r="159" ht="15" customHeight="1" s="49">
      <c r="A159" s="105" t="inlineStr">
        <is>
          <t>LEANDRO</t>
        </is>
      </c>
      <c r="B159" s="105" t="inlineStr">
        <is>
          <t>Marília e região</t>
        </is>
      </c>
      <c r="C159" s="106" t="n"/>
      <c r="D159" s="105" t="inlineStr">
        <is>
          <t>REBELATO &amp; CIA LTDA</t>
        </is>
      </c>
      <c r="E159" s="105" t="inlineStr">
        <is>
          <t>PIS E COFINS INSUMOS</t>
        </is>
      </c>
      <c r="F159" s="105" t="inlineStr">
        <is>
          <t>NOVO</t>
        </is>
      </c>
      <c r="G159" s="83" t="n">
        <v>51042</v>
      </c>
      <c r="H159" s="107" t="n">
        <v>0.3</v>
      </c>
      <c r="I159" s="83" t="n">
        <v>15312.6</v>
      </c>
      <c r="J159" s="105" t="inlineStr">
        <is>
          <t>BASE</t>
        </is>
      </c>
      <c r="K159" s="105" t="inlineStr">
        <is>
          <t>DEZ</t>
        </is>
      </c>
      <c r="L159" s="105" t="n"/>
      <c r="M159" s="105" t="inlineStr">
        <is>
          <t>FRIO</t>
        </is>
      </c>
    </row>
    <row r="160" ht="15" customHeight="1" s="49">
      <c r="A160" s="105" t="inlineStr">
        <is>
          <t>LEANDRO</t>
        </is>
      </c>
      <c r="B160" s="105" t="inlineStr">
        <is>
          <t>Marília e região</t>
        </is>
      </c>
      <c r="C160" s="106" t="n"/>
      <c r="D160" s="105" t="inlineStr">
        <is>
          <t>CELINA NOBUE KOIKE &amp; CIA LTDA</t>
        </is>
      </c>
      <c r="E160" s="105" t="inlineStr">
        <is>
          <t>IRPJ CSLL - DEDUÇÃO JCP</t>
        </is>
      </c>
      <c r="F160" s="105" t="inlineStr">
        <is>
          <t>NOVO</t>
        </is>
      </c>
      <c r="G160" s="83" t="n">
        <v>117570</v>
      </c>
      <c r="H160" s="107" t="n">
        <v>0.25</v>
      </c>
      <c r="I160" s="83" t="n">
        <v>29392.5</v>
      </c>
      <c r="J160" s="105" t="inlineStr">
        <is>
          <t>ASSINADO</t>
        </is>
      </c>
      <c r="K160" s="105" t="inlineStr">
        <is>
          <t>DEZ</t>
        </is>
      </c>
      <c r="L160" s="105" t="inlineStr">
        <is>
          <t>MAR</t>
        </is>
      </c>
      <c r="M160" s="105" t="inlineStr">
        <is>
          <t>QUENTE</t>
        </is>
      </c>
    </row>
    <row r="161" ht="15" customHeight="1" s="49">
      <c r="A161" s="105" t="inlineStr">
        <is>
          <t>LEANDRO</t>
        </is>
      </c>
      <c r="B161" s="105" t="inlineStr">
        <is>
          <t>Marília e região</t>
        </is>
      </c>
      <c r="C161" s="106" t="n"/>
      <c r="D161" s="105" t="inlineStr">
        <is>
          <t>CELINA NOBUE KOIKE &amp; CIA LTDA</t>
        </is>
      </c>
      <c r="E161" s="105" t="inlineStr">
        <is>
          <t>EXCLUSAO DE ICMS ST BASE PIS COFINS</t>
        </is>
      </c>
      <c r="F161" s="105" t="inlineStr">
        <is>
          <t>NOVO</t>
        </is>
      </c>
      <c r="G161" s="83" t="n">
        <v>346622</v>
      </c>
      <c r="H161" s="107" t="n">
        <v>0.2</v>
      </c>
      <c r="I161" s="83" t="n">
        <v>69324.39999999999</v>
      </c>
      <c r="J161" s="105" t="inlineStr">
        <is>
          <t>ASSINADO</t>
        </is>
      </c>
      <c r="K161" s="105" t="inlineStr">
        <is>
          <t>DEZ</t>
        </is>
      </c>
      <c r="L161" s="105" t="inlineStr">
        <is>
          <t>MAR</t>
        </is>
      </c>
      <c r="M161" s="105" t="inlineStr">
        <is>
          <t>QUENTE</t>
        </is>
      </c>
    </row>
    <row r="162" ht="15" customHeight="1" s="49">
      <c r="A162" s="105" t="inlineStr">
        <is>
          <t>LEANDRO</t>
        </is>
      </c>
      <c r="B162" s="105" t="inlineStr">
        <is>
          <t>Marília e região</t>
        </is>
      </c>
      <c r="C162" s="106" t="n"/>
      <c r="D162" s="105" t="inlineStr">
        <is>
          <t>CELINA NOBUE KOIKE &amp; CIA LTDA</t>
        </is>
      </c>
      <c r="E162" s="105" t="inlineStr">
        <is>
          <t>SUBV IRPJ CSLL- ICMS</t>
        </is>
      </c>
      <c r="F162" s="105" t="inlineStr">
        <is>
          <t>NOVO</t>
        </is>
      </c>
      <c r="G162" s="83" t="n">
        <v>216759</v>
      </c>
      <c r="H162" s="107" t="n">
        <v>0.2</v>
      </c>
      <c r="I162" s="83" t="n">
        <v>43351.8</v>
      </c>
      <c r="J162" s="105" t="inlineStr">
        <is>
          <t>ASSINADO</t>
        </is>
      </c>
      <c r="K162" s="105" t="inlineStr">
        <is>
          <t>DEZ</t>
        </is>
      </c>
      <c r="L162" s="105" t="inlineStr">
        <is>
          <t>MAR</t>
        </is>
      </c>
      <c r="M162" s="105" t="inlineStr">
        <is>
          <t>QUENTE</t>
        </is>
      </c>
    </row>
    <row r="163" ht="15" customHeight="1" s="49">
      <c r="A163" s="105" t="inlineStr">
        <is>
          <t>LEANDRO</t>
        </is>
      </c>
      <c r="B163" s="105" t="inlineStr">
        <is>
          <t>Marília e região</t>
        </is>
      </c>
      <c r="C163" s="106" t="n"/>
      <c r="D163" s="105" t="inlineStr">
        <is>
          <t>CELINA NOBUE KOIKE &amp; CIA LTDA</t>
        </is>
      </c>
      <c r="E163" s="105" t="inlineStr">
        <is>
          <t>PIS E COFINS INSUMOS</t>
        </is>
      </c>
      <c r="F163" s="105" t="inlineStr">
        <is>
          <t>NOVO</t>
        </is>
      </c>
      <c r="G163" s="83" t="n">
        <v>22847</v>
      </c>
      <c r="H163" s="107" t="n">
        <v>0.2</v>
      </c>
      <c r="I163" s="83" t="n">
        <v>4569.4</v>
      </c>
      <c r="J163" s="105" t="inlineStr">
        <is>
          <t>ASSINADO</t>
        </is>
      </c>
      <c r="K163" s="105" t="inlineStr">
        <is>
          <t>DEZ</t>
        </is>
      </c>
      <c r="L163" s="105" t="inlineStr">
        <is>
          <t>MAR</t>
        </is>
      </c>
      <c r="M163" s="105" t="inlineStr">
        <is>
          <t>QUENTE</t>
        </is>
      </c>
    </row>
    <row r="164" ht="15" customHeight="1" s="49">
      <c r="A164" s="105" t="inlineStr">
        <is>
          <t>LEANDRO</t>
        </is>
      </c>
      <c r="B164" s="105" t="inlineStr">
        <is>
          <t>Marília e região</t>
        </is>
      </c>
      <c r="C164" s="106" t="n"/>
      <c r="D164" s="105" t="inlineStr">
        <is>
          <t>SUPERMERCADO KOIKE LTDA</t>
        </is>
      </c>
      <c r="E164" s="105" t="inlineStr">
        <is>
          <t>IRPJ CSLL - DEDUÇÃO JCP</t>
        </is>
      </c>
      <c r="F164" s="105" t="inlineStr">
        <is>
          <t>NOVO</t>
        </is>
      </c>
      <c r="G164" s="83" t="n">
        <v>216521</v>
      </c>
      <c r="H164" s="107" t="n">
        <v>0.25</v>
      </c>
      <c r="I164" s="83" t="n">
        <v>54130.25</v>
      </c>
      <c r="J164" s="105" t="inlineStr">
        <is>
          <t>ASSINADO</t>
        </is>
      </c>
      <c r="K164" s="105" t="inlineStr">
        <is>
          <t>DEZ</t>
        </is>
      </c>
      <c r="L164" s="105" t="inlineStr">
        <is>
          <t>MAR</t>
        </is>
      </c>
      <c r="M164" s="105" t="inlineStr">
        <is>
          <t>QUENTE</t>
        </is>
      </c>
    </row>
    <row r="165" ht="15" customHeight="1" s="49">
      <c r="A165" s="105" t="inlineStr">
        <is>
          <t>LEANDRO</t>
        </is>
      </c>
      <c r="B165" s="105" t="inlineStr">
        <is>
          <t>Marília e região</t>
        </is>
      </c>
      <c r="C165" s="106" t="n"/>
      <c r="D165" s="105" t="inlineStr">
        <is>
          <t>SUPERMERCADO KOIKE LTDA</t>
        </is>
      </c>
      <c r="E165" s="105" t="inlineStr">
        <is>
          <t xml:space="preserve">PREVIDENCIARIO </t>
        </is>
      </c>
      <c r="F165" s="105" t="inlineStr">
        <is>
          <t>NOVO</t>
        </is>
      </c>
      <c r="G165" s="83" t="n">
        <v>131019</v>
      </c>
      <c r="H165" s="107" t="n">
        <v>0.25</v>
      </c>
      <c r="I165" s="83" t="n">
        <v>32754.75</v>
      </c>
      <c r="J165" s="105" t="inlineStr">
        <is>
          <t>ASSINADO</t>
        </is>
      </c>
      <c r="K165" s="105" t="inlineStr">
        <is>
          <t>DEZ</t>
        </is>
      </c>
      <c r="L165" s="105" t="inlineStr">
        <is>
          <t>MAR</t>
        </is>
      </c>
      <c r="M165" s="105" t="inlineStr">
        <is>
          <t>QUENTE</t>
        </is>
      </c>
    </row>
    <row r="166" ht="15" customHeight="1" s="49">
      <c r="A166" s="105" t="inlineStr">
        <is>
          <t>LEANDRO</t>
        </is>
      </c>
      <c r="B166" s="105" t="inlineStr">
        <is>
          <t>Marília e região</t>
        </is>
      </c>
      <c r="C166" s="106" t="n"/>
      <c r="D166" s="105" t="inlineStr">
        <is>
          <t>SUPERMERCADO KOIKE LTDA</t>
        </is>
      </c>
      <c r="E166" s="105" t="inlineStr">
        <is>
          <t>SUBV IRPJ CSLL- ICMS</t>
        </is>
      </c>
      <c r="F166" s="105" t="inlineStr">
        <is>
          <t>NOVO</t>
        </is>
      </c>
      <c r="G166" s="83" t="n">
        <v>59003</v>
      </c>
      <c r="H166" s="107" t="n">
        <v>0.25</v>
      </c>
      <c r="I166" s="83" t="n">
        <v>14750.75</v>
      </c>
      <c r="J166" s="105" t="inlineStr">
        <is>
          <t>ASSINADO</t>
        </is>
      </c>
      <c r="K166" s="105" t="inlineStr">
        <is>
          <t>DEZ</t>
        </is>
      </c>
      <c r="L166" s="105" t="inlineStr">
        <is>
          <t>MAR</t>
        </is>
      </c>
      <c r="M166" s="105" t="inlineStr">
        <is>
          <t>QUENTE</t>
        </is>
      </c>
    </row>
    <row r="167" ht="15" customHeight="1" s="49">
      <c r="A167" s="105" t="inlineStr">
        <is>
          <t>LEANDRO</t>
        </is>
      </c>
      <c r="B167" s="105" t="inlineStr">
        <is>
          <t>Marília e região</t>
        </is>
      </c>
      <c r="C167" s="106" t="n"/>
      <c r="D167" s="105" t="inlineStr">
        <is>
          <t>SUPERMERCADO KOIKE LTDA</t>
        </is>
      </c>
      <c r="E167" s="105" t="inlineStr">
        <is>
          <t>EXCLUSAO DE ICMS ST BASE PIS COFINS</t>
        </is>
      </c>
      <c r="F167" s="105" t="inlineStr">
        <is>
          <t>NOVO</t>
        </is>
      </c>
      <c r="G167" s="83" t="n">
        <v>655886</v>
      </c>
      <c r="H167" s="107" t="n">
        <v>0.25</v>
      </c>
      <c r="I167" s="83" t="n">
        <v>163971.5</v>
      </c>
      <c r="J167" s="105" t="inlineStr">
        <is>
          <t>ASSINADO</t>
        </is>
      </c>
      <c r="K167" s="105" t="inlineStr">
        <is>
          <t>DEZ</t>
        </is>
      </c>
      <c r="L167" s="105" t="inlineStr">
        <is>
          <t>MAR</t>
        </is>
      </c>
      <c r="M167" s="105" t="inlineStr">
        <is>
          <t>QUENTE</t>
        </is>
      </c>
    </row>
    <row r="168" ht="15" customHeight="1" s="49">
      <c r="A168" s="105" t="inlineStr">
        <is>
          <t>LEANDRO</t>
        </is>
      </c>
      <c r="B168" s="105" t="inlineStr">
        <is>
          <t>Marília e região</t>
        </is>
      </c>
      <c r="C168" s="106" t="n"/>
      <c r="D168" s="105" t="inlineStr">
        <is>
          <t>SUPERMERCADO KOIKE LTDA</t>
        </is>
      </c>
      <c r="E168" s="105" t="inlineStr">
        <is>
          <t>PIS E COFINS INSUMOS</t>
        </is>
      </c>
      <c r="F168" s="105" t="inlineStr">
        <is>
          <t>NOVO</t>
        </is>
      </c>
      <c r="G168" s="83" t="n">
        <v>205792</v>
      </c>
      <c r="H168" s="107" t="n">
        <v>0.25</v>
      </c>
      <c r="I168" s="83" t="n">
        <v>51448</v>
      </c>
      <c r="J168" s="105" t="inlineStr">
        <is>
          <t>ASSINADO</t>
        </is>
      </c>
      <c r="K168" s="105" t="inlineStr">
        <is>
          <t>DEZ</t>
        </is>
      </c>
      <c r="L168" s="105" t="inlineStr">
        <is>
          <t>MAR</t>
        </is>
      </c>
      <c r="M168" s="105" t="inlineStr">
        <is>
          <t>QUENTE</t>
        </is>
      </c>
    </row>
    <row r="169" ht="15" customHeight="1" s="49">
      <c r="A169" s="105" t="inlineStr">
        <is>
          <t>LEANDRO</t>
        </is>
      </c>
      <c r="B169" s="105" t="inlineStr">
        <is>
          <t>Marília e região</t>
        </is>
      </c>
      <c r="C169" s="106" t="n"/>
      <c r="D169" s="105" t="inlineStr">
        <is>
          <t>SUPERMERCADO SANTA TEREZINHA DE MARILIA LTDA</t>
        </is>
      </c>
      <c r="E169" s="105" t="inlineStr">
        <is>
          <t>PIS E COFINS INSUMOS</t>
        </is>
      </c>
      <c r="F169" s="105" t="inlineStr">
        <is>
          <t>NOVO</t>
        </is>
      </c>
      <c r="G169" s="83" t="n">
        <v>68722</v>
      </c>
      <c r="H169" s="107" t="n">
        <v>0.3</v>
      </c>
      <c r="I169" s="83" t="n">
        <v>20616.6</v>
      </c>
      <c r="J169" s="105" t="inlineStr">
        <is>
          <t>BASE</t>
        </is>
      </c>
      <c r="K169" s="105" t="inlineStr">
        <is>
          <t>DEZ</t>
        </is>
      </c>
      <c r="L169" s="105" t="n"/>
      <c r="M169" s="105" t="inlineStr">
        <is>
          <t>MORNO</t>
        </is>
      </c>
    </row>
    <row r="170" ht="15" customHeight="1" s="49">
      <c r="A170" s="105" t="inlineStr">
        <is>
          <t>LEANDRO</t>
        </is>
      </c>
      <c r="B170" s="105" t="inlineStr">
        <is>
          <t>Marília e região</t>
        </is>
      </c>
      <c r="C170" s="106" t="n"/>
      <c r="D170" s="105" t="inlineStr">
        <is>
          <t>SUPERMERCADO SANTA TEREZINHA DE MARILIA LTDA</t>
        </is>
      </c>
      <c r="E170" s="105" t="inlineStr">
        <is>
          <t>EXCLUSAO DE ICMS ST BASE PIS COFINS</t>
        </is>
      </c>
      <c r="F170" s="105" t="inlineStr">
        <is>
          <t>NOVO</t>
        </is>
      </c>
      <c r="G170" s="83" t="n">
        <v>279962</v>
      </c>
      <c r="H170" s="107" t="n">
        <v>0.3</v>
      </c>
      <c r="I170" s="83" t="n">
        <v>83988.60000000001</v>
      </c>
      <c r="J170" s="105" t="inlineStr">
        <is>
          <t>BASE</t>
        </is>
      </c>
      <c r="K170" s="105" t="inlineStr">
        <is>
          <t>DEZ</t>
        </is>
      </c>
      <c r="L170" s="105" t="n"/>
      <c r="M170" s="105" t="inlineStr">
        <is>
          <t>MORNO</t>
        </is>
      </c>
    </row>
    <row r="171" ht="15" customHeight="1" s="49">
      <c r="A171" s="105" t="inlineStr">
        <is>
          <t>LEANDRO</t>
        </is>
      </c>
      <c r="B171" s="105" t="inlineStr">
        <is>
          <t>Marília e região</t>
        </is>
      </c>
      <c r="C171" s="106" t="n"/>
      <c r="D171" s="105" t="inlineStr">
        <is>
          <t>SUPERMERCADO A BAIUCA DO MIGUEL LTDA</t>
        </is>
      </c>
      <c r="E171" s="105" t="inlineStr">
        <is>
          <t>IRPJ CSLL - DEDUÇÃO JCP</t>
        </is>
      </c>
      <c r="F171" s="105" t="inlineStr">
        <is>
          <t>NOVO</t>
        </is>
      </c>
      <c r="G171" s="83" t="n">
        <v>45873</v>
      </c>
      <c r="H171" s="107" t="n">
        <v>0.3</v>
      </c>
      <c r="I171" s="83" t="n">
        <v>13761.9</v>
      </c>
      <c r="J171" s="105" t="inlineStr">
        <is>
          <t>BASE</t>
        </is>
      </c>
      <c r="K171" s="105" t="inlineStr">
        <is>
          <t>DEZ</t>
        </is>
      </c>
      <c r="L171" s="105" t="n"/>
      <c r="M171" s="105" t="inlineStr">
        <is>
          <t>MORNO</t>
        </is>
      </c>
    </row>
    <row r="172" ht="15" customHeight="1" s="49">
      <c r="A172" s="105" t="inlineStr">
        <is>
          <t>LEANDRO</t>
        </is>
      </c>
      <c r="B172" s="105" t="inlineStr">
        <is>
          <t>Marília e região</t>
        </is>
      </c>
      <c r="C172" s="106" t="n"/>
      <c r="D172" s="105" t="inlineStr">
        <is>
          <t>SUPERMERCADO A BAIUCA DO MIGUEL LTDA</t>
        </is>
      </c>
      <c r="E172" s="105" t="inlineStr">
        <is>
          <t>EXCLUSAO DE ICMS ST BASE PIS COFINS</t>
        </is>
      </c>
      <c r="F172" s="105" t="inlineStr">
        <is>
          <t>NOVO</t>
        </is>
      </c>
      <c r="G172" s="83" t="n">
        <v>267760</v>
      </c>
      <c r="H172" s="107" t="n">
        <v>0.3</v>
      </c>
      <c r="I172" s="83" t="n">
        <v>80328</v>
      </c>
      <c r="J172" s="105" t="inlineStr">
        <is>
          <t>BASE</t>
        </is>
      </c>
      <c r="K172" s="105" t="inlineStr">
        <is>
          <t>DEZ</t>
        </is>
      </c>
      <c r="L172" s="105" t="n"/>
      <c r="M172" s="105" t="inlineStr">
        <is>
          <t>MORNO</t>
        </is>
      </c>
    </row>
    <row r="173" ht="15" customHeight="1" s="49">
      <c r="A173" s="105" t="inlineStr">
        <is>
          <t>LEANDRO</t>
        </is>
      </c>
      <c r="B173" s="105" t="inlineStr">
        <is>
          <t>Marília e região</t>
        </is>
      </c>
      <c r="C173" s="106" t="n"/>
      <c r="D173" s="105" t="inlineStr">
        <is>
          <t>GREGORIO JORDAO &amp; FILHOS LTDA</t>
        </is>
      </c>
      <c r="E173" s="105" t="inlineStr">
        <is>
          <t>PIS E COFINS INSUMOS</t>
        </is>
      </c>
      <c r="F173" s="105" t="inlineStr">
        <is>
          <t>NOVO</t>
        </is>
      </c>
      <c r="G173" s="83" t="n">
        <v>496742</v>
      </c>
      <c r="H173" s="107" t="n">
        <v>0.2</v>
      </c>
      <c r="I173" s="83" t="n">
        <v>99348.39999999999</v>
      </c>
      <c r="J173" s="105" t="inlineStr">
        <is>
          <t>BASE</t>
        </is>
      </c>
      <c r="K173" s="105" t="inlineStr">
        <is>
          <t>FEV</t>
        </is>
      </c>
      <c r="L173" s="105" t="n"/>
      <c r="M173" s="105" t="inlineStr">
        <is>
          <t>MORNO</t>
        </is>
      </c>
    </row>
    <row r="174" ht="15" customHeight="1" s="49">
      <c r="A174" s="105" t="inlineStr">
        <is>
          <t>LEANDRO</t>
        </is>
      </c>
      <c r="B174" s="105" t="inlineStr">
        <is>
          <t>Marília e região</t>
        </is>
      </c>
      <c r="C174" s="106" t="n"/>
      <c r="D174" s="105" t="inlineStr">
        <is>
          <t>AIRSOFT TECNOLOGIA LTDA</t>
        </is>
      </c>
      <c r="E174" s="105" t="inlineStr">
        <is>
          <t>PIS E COFINS INSUMOS</t>
        </is>
      </c>
      <c r="F174" s="105" t="inlineStr">
        <is>
          <t>UPSELL</t>
        </is>
      </c>
      <c r="G174" s="83" t="n">
        <v>80558</v>
      </c>
      <c r="H174" s="107" t="n">
        <v>0.2</v>
      </c>
      <c r="I174" s="83" t="n">
        <v>16111.6</v>
      </c>
      <c r="J174" s="105" t="inlineStr">
        <is>
          <t>ASSINADO</t>
        </is>
      </c>
      <c r="K174" s="105" t="inlineStr">
        <is>
          <t>DEZ</t>
        </is>
      </c>
      <c r="L174" s="105" t="inlineStr">
        <is>
          <t>FEV</t>
        </is>
      </c>
      <c r="M174" s="105" t="inlineStr">
        <is>
          <t>QUENTE</t>
        </is>
      </c>
    </row>
    <row r="175" ht="15" customHeight="1" s="49">
      <c r="A175" s="105" t="inlineStr">
        <is>
          <t>LEANDRO</t>
        </is>
      </c>
      <c r="B175" s="105" t="inlineStr">
        <is>
          <t>Marília e região</t>
        </is>
      </c>
      <c r="C175" s="106" t="n"/>
      <c r="D175" s="105" t="inlineStr">
        <is>
          <t>PEDRO BOTELHO &amp; CIA- VERA CRUZ LTDA</t>
        </is>
      </c>
      <c r="E175" s="105" t="inlineStr">
        <is>
          <t>EXCLUSAO DE ICMS ST BASE PIS COFINS</t>
        </is>
      </c>
      <c r="F175" s="105" t="inlineStr">
        <is>
          <t>NOVO</t>
        </is>
      </c>
      <c r="G175" s="83" t="n">
        <v>258648.12</v>
      </c>
      <c r="H175" s="107" t="n">
        <v>0.25</v>
      </c>
      <c r="I175" s="83" t="n">
        <v>64662.03</v>
      </c>
      <c r="J175" s="105" t="inlineStr">
        <is>
          <t>ASSINADO</t>
        </is>
      </c>
      <c r="K175" s="105" t="inlineStr">
        <is>
          <t>JAN</t>
        </is>
      </c>
      <c r="L175" s="105" t="inlineStr">
        <is>
          <t>FEV</t>
        </is>
      </c>
      <c r="M175" s="105" t="inlineStr">
        <is>
          <t>QUENTE</t>
        </is>
      </c>
    </row>
    <row r="176" ht="15" customHeight="1" s="49">
      <c r="A176" s="105" t="inlineStr">
        <is>
          <t>LEANDRO</t>
        </is>
      </c>
      <c r="B176" s="105" t="inlineStr">
        <is>
          <t>Marília e região</t>
        </is>
      </c>
      <c r="C176" s="106" t="n"/>
      <c r="D176" s="105" t="inlineStr">
        <is>
          <t>PEDRO BOTELHO &amp; CIA- VERA CRUZ LTDA</t>
        </is>
      </c>
      <c r="E176" s="105" t="inlineStr">
        <is>
          <t xml:space="preserve">PIS E COFINS INSUMOS </t>
        </is>
      </c>
      <c r="F176" s="105" t="inlineStr">
        <is>
          <t>NOVO</t>
        </is>
      </c>
      <c r="G176" s="83" t="n">
        <v>125961.15</v>
      </c>
      <c r="H176" s="107" t="n">
        <v>0.25</v>
      </c>
      <c r="I176" s="83" t="n">
        <v>31490.2875</v>
      </c>
      <c r="J176" s="105" t="inlineStr">
        <is>
          <t>ASSINADO</t>
        </is>
      </c>
      <c r="K176" s="105" t="inlineStr">
        <is>
          <t>FEV</t>
        </is>
      </c>
      <c r="L176" s="105" t="inlineStr">
        <is>
          <t>FEV</t>
        </is>
      </c>
      <c r="M176" s="105" t="inlineStr">
        <is>
          <t>QUENTE</t>
        </is>
      </c>
    </row>
    <row r="177" ht="15" customHeight="1" s="49">
      <c r="A177" s="105" t="inlineStr">
        <is>
          <t>LEANDRO</t>
        </is>
      </c>
      <c r="B177" s="105" t="inlineStr">
        <is>
          <t>Marília e região</t>
        </is>
      </c>
      <c r="C177" s="106" t="n"/>
      <c r="D177" s="105" t="inlineStr">
        <is>
          <t>PEDRO BOTELHO &amp; CIA- VERA CRUZ LTDA</t>
        </is>
      </c>
      <c r="E177" s="105" t="n"/>
      <c r="F177" s="105" t="inlineStr">
        <is>
          <t>NOVO</t>
        </is>
      </c>
      <c r="G177" s="83" t="n">
        <v>141768.89</v>
      </c>
      <c r="H177" s="107" t="n">
        <v>0.25</v>
      </c>
      <c r="I177" s="83" t="n">
        <v>35442.22</v>
      </c>
      <c r="J177" s="105" t="inlineStr">
        <is>
          <t>ASSINADO</t>
        </is>
      </c>
      <c r="K177" s="105" t="inlineStr">
        <is>
          <t>FEV</t>
        </is>
      </c>
      <c r="L177" s="105" t="inlineStr">
        <is>
          <t>FEV</t>
        </is>
      </c>
      <c r="M177" s="105" t="inlineStr">
        <is>
          <t>QUENTE</t>
        </is>
      </c>
    </row>
    <row r="178" ht="15" customHeight="1" s="49">
      <c r="A178" s="105" t="inlineStr">
        <is>
          <t>LEANDRO</t>
        </is>
      </c>
      <c r="B178" s="105" t="inlineStr">
        <is>
          <t>Marília e região</t>
        </is>
      </c>
      <c r="C178" s="106" t="n"/>
      <c r="D178" s="105" t="inlineStr">
        <is>
          <t>PEDRO BOTELHO &amp; CIA- VERA CRUZ LTDA</t>
        </is>
      </c>
      <c r="E178" s="105" t="inlineStr">
        <is>
          <t>PIS E COFINS INSUMOS</t>
        </is>
      </c>
      <c r="F178" s="105" t="inlineStr">
        <is>
          <t>UPSELL</t>
        </is>
      </c>
      <c r="G178" s="83" t="n">
        <v>34422.22</v>
      </c>
      <c r="H178" s="107" t="n">
        <v>0.25</v>
      </c>
      <c r="I178" s="83" t="n">
        <v>8605.559999999999</v>
      </c>
      <c r="J178" s="105" t="inlineStr">
        <is>
          <t>ASSINADO</t>
        </is>
      </c>
      <c r="K178" s="105" t="inlineStr">
        <is>
          <t>FEV</t>
        </is>
      </c>
      <c r="L178" s="105" t="inlineStr">
        <is>
          <t>FEV</t>
        </is>
      </c>
      <c r="M178" s="105" t="inlineStr">
        <is>
          <t>QUENTE</t>
        </is>
      </c>
    </row>
    <row r="179" ht="15" customHeight="1" s="49">
      <c r="A179" s="105" t="inlineStr">
        <is>
          <t>LEANDRO</t>
        </is>
      </c>
      <c r="B179" s="105" t="inlineStr">
        <is>
          <t>Marília e região</t>
        </is>
      </c>
      <c r="C179" s="106" t="n"/>
      <c r="D179" s="105" t="inlineStr">
        <is>
          <t>PEDRO BOTELHO &amp; CIA- VERA CRUZ LTDA</t>
        </is>
      </c>
      <c r="E179" s="105" t="inlineStr">
        <is>
          <t xml:space="preserve">PREVIDENCIARIO </t>
        </is>
      </c>
      <c r="F179" s="105" t="inlineStr">
        <is>
          <t>UPSELL</t>
        </is>
      </c>
      <c r="G179" s="83" t="n">
        <v>5490.42</v>
      </c>
      <c r="H179" s="107" t="n">
        <v>0.25</v>
      </c>
      <c r="I179" s="83" t="n">
        <v>1372.61</v>
      </c>
      <c r="J179" s="105" t="inlineStr">
        <is>
          <t>ASSINADO</t>
        </is>
      </c>
      <c r="K179" s="105" t="inlineStr">
        <is>
          <t>FEV</t>
        </is>
      </c>
      <c r="L179" s="105" t="inlineStr">
        <is>
          <t>FEV</t>
        </is>
      </c>
      <c r="M179" s="105" t="inlineStr">
        <is>
          <t>QUENTE</t>
        </is>
      </c>
    </row>
    <row r="180" ht="15" customHeight="1" s="49">
      <c r="A180" s="105" t="inlineStr">
        <is>
          <t>LEANDRO</t>
        </is>
      </c>
      <c r="B180" s="105" t="inlineStr">
        <is>
          <t>Marília e região</t>
        </is>
      </c>
      <c r="C180" s="106" t="n"/>
      <c r="D180" s="105" t="inlineStr">
        <is>
          <t>COMERCIAL 3A LTDA</t>
        </is>
      </c>
      <c r="E180" s="105" t="inlineStr">
        <is>
          <t xml:space="preserve">PREVIDENCIARIO </t>
        </is>
      </c>
      <c r="F180" s="105" t="inlineStr">
        <is>
          <t>UPSELL</t>
        </is>
      </c>
      <c r="G180" s="83" t="n">
        <v>354883.14</v>
      </c>
      <c r="H180" s="107" t="n">
        <v>0.19</v>
      </c>
      <c r="I180" s="83" t="n">
        <v>67427.7966</v>
      </c>
      <c r="J180" s="105" t="inlineStr">
        <is>
          <t>ASSINADO</t>
        </is>
      </c>
      <c r="K180" s="105" t="inlineStr">
        <is>
          <t>FEV</t>
        </is>
      </c>
      <c r="L180" s="105" t="inlineStr">
        <is>
          <t>FEV</t>
        </is>
      </c>
      <c r="M180" s="105" t="inlineStr">
        <is>
          <t>QUENTE</t>
        </is>
      </c>
    </row>
    <row r="181" ht="15" customHeight="1" s="49">
      <c r="A181" s="105" t="inlineStr">
        <is>
          <t>LEANDRO</t>
        </is>
      </c>
      <c r="B181" s="105" t="inlineStr">
        <is>
          <t>Marília e região</t>
        </is>
      </c>
      <c r="C181" s="106" t="n"/>
      <c r="D181" s="105" t="inlineStr">
        <is>
          <t>AIRSOFT TECNOLOGIA LTDA</t>
        </is>
      </c>
      <c r="E181" s="105" t="inlineStr">
        <is>
          <t>PIS E COFINS INSUMOS</t>
        </is>
      </c>
      <c r="F181" s="105" t="inlineStr">
        <is>
          <t>NOVO</t>
        </is>
      </c>
      <c r="G181" s="83" t="n">
        <v>80558</v>
      </c>
      <c r="H181" s="107" t="n">
        <v>0.2</v>
      </c>
      <c r="I181" s="83" t="n">
        <v>16111.6</v>
      </c>
      <c r="J181" s="105" t="inlineStr">
        <is>
          <t>BASE</t>
        </is>
      </c>
      <c r="K181" s="105" t="inlineStr">
        <is>
          <t>JAN</t>
        </is>
      </c>
      <c r="L181" s="105" t="n"/>
      <c r="M181" s="105" t="inlineStr">
        <is>
          <t>QUENTE</t>
        </is>
      </c>
    </row>
    <row r="182" ht="15" customHeight="1" s="49">
      <c r="A182" s="105" t="inlineStr">
        <is>
          <t>LEANDRO</t>
        </is>
      </c>
      <c r="B182" s="105" t="inlineStr">
        <is>
          <t>Marília e região</t>
        </is>
      </c>
      <c r="C182" s="106" t="n"/>
      <c r="D182" s="105" t="inlineStr">
        <is>
          <t>IRMÃOS BOMEDIANO &amp; CIA LTDA</t>
        </is>
      </c>
      <c r="E182" s="105" t="inlineStr">
        <is>
          <t xml:space="preserve">IRPJ CSLL </t>
        </is>
      </c>
      <c r="F182" s="105" t="inlineStr">
        <is>
          <t>NOVO</t>
        </is>
      </c>
      <c r="G182" s="83" t="n">
        <v>175748</v>
      </c>
      <c r="H182" s="107" t="n">
        <v>0.2</v>
      </c>
      <c r="I182" s="83" t="n">
        <v>35149.6</v>
      </c>
      <c r="J182" s="105" t="inlineStr">
        <is>
          <t>BASE</t>
        </is>
      </c>
      <c r="K182" s="105" t="inlineStr">
        <is>
          <t>FEV</t>
        </is>
      </c>
      <c r="L182" s="105" t="n"/>
      <c r="M182" s="105" t="inlineStr">
        <is>
          <t>QUENTE</t>
        </is>
      </c>
    </row>
    <row r="183" ht="15" customHeight="1" s="49">
      <c r="A183" s="105" t="inlineStr">
        <is>
          <t>LEANDRO</t>
        </is>
      </c>
      <c r="B183" s="105" t="inlineStr">
        <is>
          <t>Marília e região</t>
        </is>
      </c>
      <c r="C183" s="106" t="n"/>
      <c r="D183" s="105" t="inlineStr">
        <is>
          <t>IRMÃOS BOMEDIANO &amp; CIA LTDA</t>
        </is>
      </c>
      <c r="E183" s="105" t="inlineStr">
        <is>
          <t>PIS E COFINS INSUMOS</t>
        </is>
      </c>
      <c r="F183" s="105" t="inlineStr">
        <is>
          <t>NOVO</t>
        </is>
      </c>
      <c r="G183" s="83" t="n">
        <v>934491</v>
      </c>
      <c r="H183" s="107" t="n">
        <v>0.2</v>
      </c>
      <c r="I183" s="83" t="n">
        <v>186898.2</v>
      </c>
      <c r="J183" s="105" t="inlineStr">
        <is>
          <t>BASE</t>
        </is>
      </c>
      <c r="K183" s="105" t="inlineStr">
        <is>
          <t>FEV</t>
        </is>
      </c>
      <c r="L183" s="105" t="n"/>
      <c r="M183" s="105" t="inlineStr">
        <is>
          <t>QUENTE</t>
        </is>
      </c>
    </row>
    <row r="184" ht="15" customHeight="1" s="49">
      <c r="A184" s="105" t="inlineStr">
        <is>
          <t>LEANDRO</t>
        </is>
      </c>
      <c r="B184" s="105" t="inlineStr">
        <is>
          <t>Marília e região</t>
        </is>
      </c>
      <c r="C184" s="106" t="n"/>
      <c r="D184" s="105" t="inlineStr">
        <is>
          <t>VO JORGE ALIMENTOS LTDA</t>
        </is>
      </c>
      <c r="E184" s="105" t="inlineStr">
        <is>
          <t xml:space="preserve">IRPJ CSLL </t>
        </is>
      </c>
      <c r="F184" s="105" t="inlineStr">
        <is>
          <t>NOVO</t>
        </is>
      </c>
      <c r="G184" s="83" t="n">
        <v>57263</v>
      </c>
      <c r="H184" s="107" t="n">
        <v>0.15</v>
      </c>
      <c r="I184" s="83" t="n">
        <v>8589.450000000001</v>
      </c>
      <c r="J184" s="105" t="inlineStr">
        <is>
          <t>ASSINADO</t>
        </is>
      </c>
      <c r="K184" s="105" t="inlineStr">
        <is>
          <t>MAR</t>
        </is>
      </c>
      <c r="L184" s="105" t="inlineStr">
        <is>
          <t>ABR</t>
        </is>
      </c>
      <c r="M184" s="105" t="inlineStr">
        <is>
          <t>QUENTE</t>
        </is>
      </c>
    </row>
    <row r="185" ht="15" customHeight="1" s="49">
      <c r="A185" s="105" t="inlineStr">
        <is>
          <t>LEANDRO</t>
        </is>
      </c>
      <c r="B185" s="105" t="inlineStr">
        <is>
          <t>Marília e região</t>
        </is>
      </c>
      <c r="C185" s="106" t="n"/>
      <c r="D185" s="105" t="inlineStr">
        <is>
          <t>VO JORGE ALIMENTOS LTDA</t>
        </is>
      </c>
      <c r="E185" s="105" t="inlineStr">
        <is>
          <t>PIS E COFINS</t>
        </is>
      </c>
      <c r="F185" s="105" t="inlineStr">
        <is>
          <t>NOVO</t>
        </is>
      </c>
      <c r="G185" s="83" t="n">
        <v>694680</v>
      </c>
      <c r="H185" s="107" t="n">
        <v>0.15</v>
      </c>
      <c r="I185" s="83" t="n">
        <v>104202</v>
      </c>
      <c r="J185" s="105" t="inlineStr">
        <is>
          <t>ASSINADO</t>
        </is>
      </c>
      <c r="K185" s="105" t="inlineStr">
        <is>
          <t>MAR</t>
        </is>
      </c>
      <c r="L185" s="105" t="inlineStr">
        <is>
          <t>ABR</t>
        </is>
      </c>
      <c r="M185" s="105" t="inlineStr">
        <is>
          <t>QUENTE</t>
        </is>
      </c>
    </row>
    <row r="186" ht="15" customHeight="1" s="49">
      <c r="A186" s="105" t="inlineStr">
        <is>
          <t>LEANDRO</t>
        </is>
      </c>
      <c r="B186" s="105" t="inlineStr">
        <is>
          <t>Marília e região</t>
        </is>
      </c>
      <c r="C186" s="106" t="n"/>
      <c r="D186" s="105" t="inlineStr">
        <is>
          <t>AUTO POSTO J P LIDER LTDA</t>
        </is>
      </c>
      <c r="E186" s="105" t="inlineStr">
        <is>
          <t>IRPJ CSLL</t>
        </is>
      </c>
      <c r="F186" s="105" t="inlineStr">
        <is>
          <t>NOVO</t>
        </is>
      </c>
      <c r="G186" s="83" t="n">
        <v>523403</v>
      </c>
      <c r="H186" s="107" t="n">
        <v>0.15</v>
      </c>
      <c r="I186" s="83" t="n">
        <v>78510.45</v>
      </c>
      <c r="J186" s="105" t="inlineStr">
        <is>
          <t>EM ASSINATURA</t>
        </is>
      </c>
      <c r="K186" s="105" t="inlineStr">
        <is>
          <t>ABR</t>
        </is>
      </c>
      <c r="L186" s="105" t="n"/>
      <c r="M186" s="105" t="inlineStr">
        <is>
          <t>QUENTE</t>
        </is>
      </c>
    </row>
    <row r="187" ht="15" customHeight="1" s="49">
      <c r="A187" s="105" t="inlineStr">
        <is>
          <t>LEANDRO</t>
        </is>
      </c>
      <c r="B187" s="105" t="inlineStr">
        <is>
          <t>Marília e região</t>
        </is>
      </c>
      <c r="C187" s="106" t="n"/>
      <c r="D187" s="105" t="inlineStr">
        <is>
          <t>OSMR BRAGHIN &amp; CIA . LTDA</t>
        </is>
      </c>
      <c r="E187" s="105" t="inlineStr">
        <is>
          <t>IRPJ E CSLL</t>
        </is>
      </c>
      <c r="F187" s="105" t="inlineStr">
        <is>
          <t>NOVO</t>
        </is>
      </c>
      <c r="G187" s="83" t="n">
        <v>275253</v>
      </c>
      <c r="H187" s="107" t="n">
        <v>0.25</v>
      </c>
      <c r="I187" s="83" t="n">
        <v>68813.25</v>
      </c>
      <c r="J187" s="105" t="inlineStr">
        <is>
          <t>ASSINADO</t>
        </is>
      </c>
      <c r="K187" s="105" t="inlineStr">
        <is>
          <t>ABR</t>
        </is>
      </c>
      <c r="L187" s="105" t="inlineStr">
        <is>
          <t>ABR</t>
        </is>
      </c>
      <c r="M187" s="105" t="inlineStr">
        <is>
          <t>QUENTE</t>
        </is>
      </c>
    </row>
    <row r="188" ht="15" customHeight="1" s="49">
      <c r="A188" s="105" t="inlineStr">
        <is>
          <t>LEANDRO</t>
        </is>
      </c>
      <c r="B188" s="105" t="inlineStr">
        <is>
          <t>Marília e região</t>
        </is>
      </c>
      <c r="C188" s="106" t="n"/>
      <c r="D188" s="105" t="inlineStr">
        <is>
          <t>OSMR BRAGHIN &amp; CIA . LTDA</t>
        </is>
      </c>
      <c r="E188" s="105" t="inlineStr">
        <is>
          <t>PIS E COFINS</t>
        </is>
      </c>
      <c r="F188" s="105" t="inlineStr">
        <is>
          <t>NOVO</t>
        </is>
      </c>
      <c r="G188" s="83" t="n">
        <v>83581</v>
      </c>
      <c r="H188" s="107" t="n">
        <v>0.25</v>
      </c>
      <c r="I188" s="83" t="n">
        <v>20895.25</v>
      </c>
      <c r="J188" s="105" t="inlineStr">
        <is>
          <t>ASSINADO</t>
        </is>
      </c>
      <c r="K188" s="105" t="inlineStr">
        <is>
          <t>ABR</t>
        </is>
      </c>
      <c r="L188" s="105" t="inlineStr">
        <is>
          <t>ABR</t>
        </is>
      </c>
      <c r="M188" s="105" t="inlineStr">
        <is>
          <t>QUENTE</t>
        </is>
      </c>
    </row>
    <row r="189" ht="15" customHeight="1" s="49">
      <c r="A189" s="105" t="inlineStr">
        <is>
          <t>NATHALIA</t>
        </is>
      </c>
      <c r="B189" s="105" t="inlineStr">
        <is>
          <t>São José do Rio Preto</t>
        </is>
      </c>
      <c r="C189" s="106" t="n"/>
      <c r="D189" s="105" t="inlineStr">
        <is>
          <t>VL DIAS SUPERMERCADO LTDA</t>
        </is>
      </c>
      <c r="E189" s="105" t="inlineStr">
        <is>
          <t>SUBV IRPJ CSLL- ICMS</t>
        </is>
      </c>
      <c r="F189" s="105" t="inlineStr">
        <is>
          <t>NOVO</t>
        </is>
      </c>
      <c r="G189" s="83" t="n">
        <v>88937</v>
      </c>
      <c r="H189" s="107" t="n">
        <v>0.3</v>
      </c>
      <c r="I189" s="83" t="n">
        <v>26681.1</v>
      </c>
      <c r="J189" s="105" t="inlineStr">
        <is>
          <t>STANDBY</t>
        </is>
      </c>
      <c r="K189" s="105" t="inlineStr">
        <is>
          <t>DEZ</t>
        </is>
      </c>
      <c r="L189" s="105" t="n"/>
      <c r="M189" s="105" t="n"/>
    </row>
    <row r="190" ht="15" customHeight="1" s="49">
      <c r="A190" s="105" t="inlineStr">
        <is>
          <t>NATHALIA</t>
        </is>
      </c>
      <c r="B190" s="105" t="inlineStr">
        <is>
          <t>São José do Rio Preto</t>
        </is>
      </c>
      <c r="C190" s="106" t="n"/>
      <c r="D190" s="105" t="inlineStr">
        <is>
          <t>VL DIAS SUPERMERCADO LTDA</t>
        </is>
      </c>
      <c r="E190" s="105" t="inlineStr">
        <is>
          <t>PIS E COFINS INSUMOS</t>
        </is>
      </c>
      <c r="F190" s="105" t="inlineStr">
        <is>
          <t>NOVO</t>
        </is>
      </c>
      <c r="G190" s="83" t="n">
        <v>130951</v>
      </c>
      <c r="H190" s="107" t="n">
        <v>0.3</v>
      </c>
      <c r="I190" s="83" t="n">
        <v>39285.3</v>
      </c>
      <c r="J190" s="105" t="inlineStr">
        <is>
          <t>STANDBY</t>
        </is>
      </c>
      <c r="K190" s="105" t="inlineStr">
        <is>
          <t>DEZ</t>
        </is>
      </c>
      <c r="L190" s="105" t="n"/>
      <c r="M190" s="105" t="n"/>
    </row>
    <row r="191" ht="15" customHeight="1" s="49">
      <c r="A191" s="105" t="inlineStr">
        <is>
          <t>NATHALIA</t>
        </is>
      </c>
      <c r="B191" s="105" t="inlineStr">
        <is>
          <t>São José do Rio Preto</t>
        </is>
      </c>
      <c r="C191" s="106" t="n"/>
      <c r="D191" s="105" t="inlineStr">
        <is>
          <t>VL DIAS SUPERMERCADO LTDA</t>
        </is>
      </c>
      <c r="E191" s="105" t="inlineStr">
        <is>
          <t>IRPJ E CSLL - DEDUÇÃO JCP</t>
        </is>
      </c>
      <c r="F191" s="105" t="inlineStr">
        <is>
          <t>NOVO</t>
        </is>
      </c>
      <c r="G191" s="83" t="n">
        <v>36720</v>
      </c>
      <c r="H191" s="107" t="n">
        <v>0.3</v>
      </c>
      <c r="I191" s="83" t="n">
        <v>11016</v>
      </c>
      <c r="J191" s="105" t="inlineStr">
        <is>
          <t>STANDBY</t>
        </is>
      </c>
      <c r="K191" s="105" t="inlineStr">
        <is>
          <t>DEZ</t>
        </is>
      </c>
      <c r="L191" s="105" t="n"/>
      <c r="M191" s="105" t="n"/>
    </row>
    <row r="192" ht="15" customHeight="1" s="49">
      <c r="A192" s="105" t="inlineStr">
        <is>
          <t>NATHALIA</t>
        </is>
      </c>
      <c r="B192" s="105" t="inlineStr">
        <is>
          <t>São José do Rio Preto</t>
        </is>
      </c>
      <c r="C192" s="106" t="n"/>
      <c r="D192" s="105" t="inlineStr">
        <is>
          <t>VL DIAS SUPERMERCADO LTDA</t>
        </is>
      </c>
      <c r="E192" s="105" t="inlineStr">
        <is>
          <t>EXCLUSÃO ICMS ST BASE PIS COFINS</t>
        </is>
      </c>
      <c r="F192" s="105" t="inlineStr">
        <is>
          <t>NOVO</t>
        </is>
      </c>
      <c r="G192" s="83" t="n">
        <v>11505</v>
      </c>
      <c r="H192" s="107" t="n">
        <v>0.3</v>
      </c>
      <c r="I192" s="83" t="n">
        <v>3451.5</v>
      </c>
      <c r="J192" s="105" t="inlineStr">
        <is>
          <t>STANDBY</t>
        </is>
      </c>
      <c r="K192" s="105" t="inlineStr">
        <is>
          <t>DEZ</t>
        </is>
      </c>
      <c r="L192" s="105" t="n"/>
      <c r="M192" s="105" t="n"/>
    </row>
    <row r="193" ht="15" customHeight="1" s="49">
      <c r="A193" s="105" t="inlineStr">
        <is>
          <t>NATHALIA</t>
        </is>
      </c>
      <c r="B193" s="105" t="inlineStr">
        <is>
          <t>São José do Rio Preto</t>
        </is>
      </c>
      <c r="C193" s="106" t="n"/>
      <c r="D193" s="105" t="inlineStr">
        <is>
          <t>SUPERMERCADO GERCINO</t>
        </is>
      </c>
      <c r="E193" s="105" t="inlineStr">
        <is>
          <t>SUBV IRPJ CSLL- ICMS</t>
        </is>
      </c>
      <c r="F193" s="105" t="inlineStr">
        <is>
          <t>NOVO</t>
        </is>
      </c>
      <c r="G193" s="83" t="n">
        <v>81912</v>
      </c>
      <c r="H193" s="107" t="n">
        <v>0.3</v>
      </c>
      <c r="I193" s="83" t="n">
        <v>24573.6</v>
      </c>
      <c r="J193" s="105" t="inlineStr">
        <is>
          <t>STANDBY</t>
        </is>
      </c>
      <c r="K193" s="105" t="inlineStr">
        <is>
          <t>DEZ</t>
        </is>
      </c>
      <c r="L193" s="105" t="n"/>
      <c r="M193" s="105" t="n"/>
    </row>
    <row r="194" ht="15" customHeight="1" s="49">
      <c r="A194" s="105" t="inlineStr">
        <is>
          <t>NATHALIA</t>
        </is>
      </c>
      <c r="B194" s="105" t="inlineStr">
        <is>
          <t>São José do Rio Preto</t>
        </is>
      </c>
      <c r="C194" s="106" t="n"/>
      <c r="D194" s="105" t="inlineStr">
        <is>
          <t>SUPERMERCADO GERCINO</t>
        </is>
      </c>
      <c r="E194" s="105" t="inlineStr">
        <is>
          <t>PIS E COFINS INSUMOS</t>
        </is>
      </c>
      <c r="F194" s="105" t="inlineStr">
        <is>
          <t>NOVO</t>
        </is>
      </c>
      <c r="G194" s="83" t="n">
        <v>100937</v>
      </c>
      <c r="H194" s="107" t="n">
        <v>0.3</v>
      </c>
      <c r="I194" s="83" t="n">
        <v>30281.1</v>
      </c>
      <c r="J194" s="105" t="inlineStr">
        <is>
          <t>STANDBY</t>
        </is>
      </c>
      <c r="K194" s="105" t="inlineStr">
        <is>
          <t>DEZ</t>
        </is>
      </c>
      <c r="L194" s="105" t="n"/>
      <c r="M194" s="105" t="n"/>
    </row>
    <row r="195" ht="15" customHeight="1" s="49">
      <c r="A195" s="105" t="inlineStr">
        <is>
          <t>NATHALIA</t>
        </is>
      </c>
      <c r="B195" s="105" t="inlineStr">
        <is>
          <t>São José do Rio Preto</t>
        </is>
      </c>
      <c r="C195" s="106" t="n"/>
      <c r="D195" s="105" t="inlineStr">
        <is>
          <t>SUPERMERCADO GERCINO</t>
        </is>
      </c>
      <c r="E195" s="105" t="inlineStr">
        <is>
          <t>EXCLUSÃO ICMS ST BASE PIS COFINS</t>
        </is>
      </c>
      <c r="F195" s="105" t="inlineStr">
        <is>
          <t>NOVO</t>
        </is>
      </c>
      <c r="G195" s="83" t="n">
        <v>158152</v>
      </c>
      <c r="H195" s="107" t="n">
        <v>0.3</v>
      </c>
      <c r="I195" s="83" t="n">
        <v>47445.6</v>
      </c>
      <c r="J195" s="105" t="inlineStr">
        <is>
          <t>STANDBY</t>
        </is>
      </c>
      <c r="K195" s="105" t="inlineStr">
        <is>
          <t>DEZ</t>
        </is>
      </c>
      <c r="L195" s="105" t="n"/>
      <c r="M195" s="105" t="n"/>
    </row>
    <row r="196" ht="15" customHeight="1" s="49">
      <c r="A196" s="105" t="inlineStr">
        <is>
          <t>NATHALIA</t>
        </is>
      </c>
      <c r="B196" s="105" t="inlineStr">
        <is>
          <t>São José do Rio Preto</t>
        </is>
      </c>
      <c r="C196" s="106" t="n"/>
      <c r="D196" s="105" t="inlineStr">
        <is>
          <t>TJ MARINELI</t>
        </is>
      </c>
      <c r="E196" s="105" t="inlineStr">
        <is>
          <t>PIS E COFINS INSUMOS</t>
        </is>
      </c>
      <c r="F196" s="105" t="inlineStr">
        <is>
          <t>NOVO</t>
        </is>
      </c>
      <c r="G196" s="83" t="n">
        <v>142668</v>
      </c>
      <c r="H196" s="107" t="n">
        <v>0.2</v>
      </c>
      <c r="I196" s="83" t="n">
        <v>28533.6</v>
      </c>
      <c r="J196" s="105" t="inlineStr">
        <is>
          <t>STANDBY</t>
        </is>
      </c>
      <c r="K196" s="105" t="inlineStr">
        <is>
          <t>DEZ</t>
        </is>
      </c>
      <c r="L196" s="105" t="n"/>
      <c r="M196" s="105" t="n"/>
    </row>
    <row r="197" ht="15" customHeight="1" s="49">
      <c r="A197" s="105" t="inlineStr">
        <is>
          <t>NATHALIA</t>
        </is>
      </c>
      <c r="B197" s="105" t="inlineStr">
        <is>
          <t>São José do Rio Preto</t>
        </is>
      </c>
      <c r="C197" s="106" t="n"/>
      <c r="D197" s="105" t="inlineStr">
        <is>
          <t>TJ MARINELI</t>
        </is>
      </c>
      <c r="E197" s="105" t="inlineStr">
        <is>
          <t>IRPJ E CSLL - DEDUÇÃO JCP</t>
        </is>
      </c>
      <c r="F197" s="105" t="inlineStr">
        <is>
          <t>NOVO</t>
        </is>
      </c>
      <c r="G197" s="83" t="n">
        <v>89597</v>
      </c>
      <c r="H197" s="107" t="n">
        <v>0.2</v>
      </c>
      <c r="I197" s="83" t="n">
        <v>17919.4</v>
      </c>
      <c r="J197" s="105" t="inlineStr">
        <is>
          <t>STANDBY</t>
        </is>
      </c>
      <c r="K197" s="105" t="inlineStr">
        <is>
          <t>DEZ</t>
        </is>
      </c>
      <c r="L197" s="105" t="n"/>
      <c r="M197" s="105" t="n"/>
    </row>
    <row r="198" ht="15" customHeight="1" s="49">
      <c r="A198" s="105" t="inlineStr">
        <is>
          <t>ORLANDO</t>
        </is>
      </c>
      <c r="B198" s="105" t="inlineStr">
        <is>
          <t>São Paulo - Matriz</t>
        </is>
      </c>
      <c r="C198" s="106" t="n"/>
      <c r="D198" s="105" t="inlineStr">
        <is>
          <t>LUBE DISTRIBUIDORA LTDA</t>
        </is>
      </c>
      <c r="E198" s="105" t="inlineStr">
        <is>
          <t>EXCL ICMS ST</t>
        </is>
      </c>
      <c r="F198" s="105" t="inlineStr">
        <is>
          <t>NOVO</t>
        </is>
      </c>
      <c r="G198" s="83" t="n">
        <v>716944</v>
      </c>
      <c r="H198" s="107" t="n">
        <v>0.2</v>
      </c>
      <c r="I198" s="83" t="n">
        <v>143388.8</v>
      </c>
      <c r="J198" s="105" t="inlineStr">
        <is>
          <t>ASSINADO</t>
        </is>
      </c>
      <c r="K198" s="105" t="inlineStr">
        <is>
          <t>DEZ</t>
        </is>
      </c>
      <c r="L198" s="105" t="inlineStr">
        <is>
          <t>JAN</t>
        </is>
      </c>
      <c r="M198" s="105" t="inlineStr">
        <is>
          <t>QUENTE</t>
        </is>
      </c>
    </row>
    <row r="199" ht="15" customHeight="1" s="49">
      <c r="A199" s="105" t="inlineStr">
        <is>
          <t>ORLANDO</t>
        </is>
      </c>
      <c r="B199" s="105" t="inlineStr">
        <is>
          <t>São Paulo - Matriz</t>
        </is>
      </c>
      <c r="C199" s="106" t="n"/>
      <c r="D199" s="105" t="inlineStr">
        <is>
          <t>LUBE DISTRIBUIDORA LTDA</t>
        </is>
      </c>
      <c r="E199" s="105" t="inlineStr">
        <is>
          <t>PIS/COFINS INSUMOS</t>
        </is>
      </c>
      <c r="F199" s="105" t="inlineStr">
        <is>
          <t>NOVO</t>
        </is>
      </c>
      <c r="G199" s="83" t="n">
        <v>452966</v>
      </c>
      <c r="H199" s="107" t="n">
        <v>0.2</v>
      </c>
      <c r="I199" s="83" t="n">
        <v>90593.2</v>
      </c>
      <c r="J199" s="105" t="inlineStr">
        <is>
          <t>ASSINADO</t>
        </is>
      </c>
      <c r="K199" s="105" t="inlineStr">
        <is>
          <t>DEZ</t>
        </is>
      </c>
      <c r="L199" s="105" t="inlineStr">
        <is>
          <t>JAN</t>
        </is>
      </c>
      <c r="M199" s="105" t="inlineStr">
        <is>
          <t>QUENTE</t>
        </is>
      </c>
    </row>
    <row r="200" ht="15" customHeight="1" s="49">
      <c r="A200" s="105" t="inlineStr">
        <is>
          <t>ORLANDO</t>
        </is>
      </c>
      <c r="B200" s="105" t="inlineStr">
        <is>
          <t>São Paulo - Matriz</t>
        </is>
      </c>
      <c r="C200" s="106" t="n"/>
      <c r="D200" s="105" t="inlineStr">
        <is>
          <t>SUPERMERCADO DONAIRE</t>
        </is>
      </c>
      <c r="E200" s="105" t="inlineStr">
        <is>
          <t>SUBV IRPJ CSLL- ICMS</t>
        </is>
      </c>
      <c r="F200" s="105" t="inlineStr">
        <is>
          <t>NOVO</t>
        </is>
      </c>
      <c r="G200" s="83" t="n">
        <v>376526</v>
      </c>
      <c r="H200" s="107" t="n">
        <v>0.2</v>
      </c>
      <c r="I200" s="83" t="n">
        <v>75305.2</v>
      </c>
      <c r="J200" s="105" t="inlineStr">
        <is>
          <t>BASE</t>
        </is>
      </c>
      <c r="K200" s="105" t="inlineStr">
        <is>
          <t>DEZ</t>
        </is>
      </c>
      <c r="L200" s="105" t="n"/>
      <c r="M200" s="105" t="inlineStr">
        <is>
          <t>MORNO</t>
        </is>
      </c>
    </row>
    <row r="201" ht="15" customHeight="1" s="49">
      <c r="A201" s="105" t="inlineStr">
        <is>
          <t>ORLANDO</t>
        </is>
      </c>
      <c r="B201" s="105" t="inlineStr">
        <is>
          <t>São Paulo - Matriz</t>
        </is>
      </c>
      <c r="C201" s="106" t="n"/>
      <c r="D201" s="105" t="inlineStr">
        <is>
          <t>SUPERMERCADO DONAIRE</t>
        </is>
      </c>
      <c r="E201" s="105" t="inlineStr">
        <is>
          <t>PIS COFINS INSUMOS</t>
        </is>
      </c>
      <c r="F201" s="105" t="inlineStr">
        <is>
          <t>NOVO</t>
        </is>
      </c>
      <c r="G201" s="83" t="n">
        <v>292779</v>
      </c>
      <c r="H201" s="107" t="n">
        <v>0.2</v>
      </c>
      <c r="I201" s="83" t="n">
        <v>58555.8</v>
      </c>
      <c r="J201" s="105" t="inlineStr">
        <is>
          <t>BASE</t>
        </is>
      </c>
      <c r="K201" s="105" t="inlineStr">
        <is>
          <t>DEZ</t>
        </is>
      </c>
      <c r="L201" s="105" t="n"/>
      <c r="M201" s="105" t="inlineStr">
        <is>
          <t>MORNO</t>
        </is>
      </c>
    </row>
    <row r="202" ht="15" customHeight="1" s="49">
      <c r="A202" s="105" t="inlineStr">
        <is>
          <t>ORLANDO</t>
        </is>
      </c>
      <c r="B202" s="105" t="inlineStr">
        <is>
          <t>São Paulo - Matriz</t>
        </is>
      </c>
      <c r="C202" s="106" t="n"/>
      <c r="D202" s="105" t="inlineStr">
        <is>
          <t>SUPERMERCADO DONAIRE</t>
        </is>
      </c>
      <c r="E202" s="105" t="inlineStr">
        <is>
          <t>EXCLUSÃO ICMS ST BASE PIS COFINS</t>
        </is>
      </c>
      <c r="F202" s="105" t="inlineStr">
        <is>
          <t>NOVO</t>
        </is>
      </c>
      <c r="G202" s="83" t="n">
        <v>620696</v>
      </c>
      <c r="H202" s="107" t="n">
        <v>0.2</v>
      </c>
      <c r="I202" s="83" t="n">
        <v>124139.2</v>
      </c>
      <c r="J202" s="105" t="inlineStr">
        <is>
          <t>BASE</t>
        </is>
      </c>
      <c r="K202" s="105" t="inlineStr">
        <is>
          <t>DEZ</t>
        </is>
      </c>
      <c r="L202" s="105" t="n"/>
      <c r="M202" s="105" t="inlineStr">
        <is>
          <t>MORNO</t>
        </is>
      </c>
    </row>
    <row r="203" ht="15" customHeight="1" s="49">
      <c r="A203" s="105" t="inlineStr">
        <is>
          <t>ORLANDO</t>
        </is>
      </c>
      <c r="B203" s="105" t="inlineStr">
        <is>
          <t>São Paulo - Matriz</t>
        </is>
      </c>
      <c r="C203" s="106" t="n"/>
      <c r="D203" s="105" t="inlineStr">
        <is>
          <t>SUPERMERCADO DONAIRE</t>
        </is>
      </c>
      <c r="E203" s="105" t="inlineStr">
        <is>
          <t>IRPJ CSLL- DEDUÇÃO JCP</t>
        </is>
      </c>
      <c r="F203" s="105" t="inlineStr">
        <is>
          <t>NOVO</t>
        </is>
      </c>
      <c r="G203" s="83" t="n">
        <v>31005</v>
      </c>
      <c r="H203" s="107" t="n">
        <v>0.2</v>
      </c>
      <c r="I203" s="83" t="n">
        <v>6201</v>
      </c>
      <c r="J203" s="105" t="inlineStr">
        <is>
          <t>BASE</t>
        </is>
      </c>
      <c r="K203" s="105" t="inlineStr">
        <is>
          <t>DEZ</t>
        </is>
      </c>
      <c r="L203" s="105" t="n"/>
      <c r="M203" s="105" t="inlineStr">
        <is>
          <t>MORNO</t>
        </is>
      </c>
    </row>
    <row r="204" ht="15" customHeight="1" s="49">
      <c r="A204" s="105" t="inlineStr">
        <is>
          <t>ORLANDO</t>
        </is>
      </c>
      <c r="B204" s="105" t="inlineStr">
        <is>
          <t>São Paulo - Matriz</t>
        </is>
      </c>
      <c r="C204" s="106" t="n"/>
      <c r="D204" s="105" t="inlineStr">
        <is>
          <t>SUPERMERCADO DONAIRE</t>
        </is>
      </c>
      <c r="E204" s="105" t="inlineStr">
        <is>
          <t xml:space="preserve">PREVIDENCIARIO </t>
        </is>
      </c>
      <c r="F204" s="105" t="inlineStr">
        <is>
          <t>NOVO</t>
        </is>
      </c>
      <c r="G204" s="83" t="n">
        <v>93547</v>
      </c>
      <c r="H204" s="107" t="n">
        <v>0.2</v>
      </c>
      <c r="I204" s="83" t="n">
        <v>18709.4</v>
      </c>
      <c r="J204" s="105" t="inlineStr">
        <is>
          <t>BASE</t>
        </is>
      </c>
      <c r="K204" s="105" t="inlineStr">
        <is>
          <t>DEZ</t>
        </is>
      </c>
      <c r="L204" s="105" t="n"/>
      <c r="M204" s="105" t="inlineStr">
        <is>
          <t>MORNO</t>
        </is>
      </c>
    </row>
    <row r="205" ht="15" customHeight="1" s="49">
      <c r="A205" s="105" t="inlineStr">
        <is>
          <t>ORLANDO</t>
        </is>
      </c>
      <c r="B205" s="105" t="inlineStr">
        <is>
          <t>São Paulo - Matriz</t>
        </is>
      </c>
      <c r="C205" s="106" t="n"/>
      <c r="D205" s="105" t="inlineStr">
        <is>
          <t>RAULNY AUGUSTO CAMPOS PEDREGULHO – SP</t>
        </is>
      </c>
      <c r="E205" s="105" t="inlineStr">
        <is>
          <t>SUBV IRPJ CSLL- ICMS</t>
        </is>
      </c>
      <c r="F205" s="105" t="inlineStr">
        <is>
          <t>NOVO</t>
        </is>
      </c>
      <c r="G205" s="83" t="n">
        <v>55402</v>
      </c>
      <c r="H205" s="107" t="n">
        <v>0.22</v>
      </c>
      <c r="I205" s="83" t="n">
        <v>12188.44</v>
      </c>
      <c r="J205" s="105" t="inlineStr">
        <is>
          <t>ASSINADO</t>
        </is>
      </c>
      <c r="K205" s="105" t="inlineStr">
        <is>
          <t>DEZ</t>
        </is>
      </c>
      <c r="L205" s="105" t="inlineStr">
        <is>
          <t>MAR</t>
        </is>
      </c>
      <c r="M205" s="105" t="inlineStr">
        <is>
          <t>QUENTE</t>
        </is>
      </c>
    </row>
    <row r="206" ht="15" customHeight="1" s="49">
      <c r="A206" s="105" t="inlineStr">
        <is>
          <t>ORLANDO</t>
        </is>
      </c>
      <c r="B206" s="105" t="inlineStr">
        <is>
          <t>São Paulo - Matriz</t>
        </is>
      </c>
      <c r="C206" s="106" t="n"/>
      <c r="D206" s="105" t="inlineStr">
        <is>
          <t>RAULNY AUGUSTO CAMPOS PEDREGULHO – SP</t>
        </is>
      </c>
      <c r="E206" s="105" t="inlineStr">
        <is>
          <t>EXCLUSÃO ICMS ST BASE PIS COFINS</t>
        </is>
      </c>
      <c r="F206" s="105" t="inlineStr">
        <is>
          <t>NOVO</t>
        </is>
      </c>
      <c r="G206" s="83" t="n">
        <v>111191</v>
      </c>
      <c r="H206" s="107" t="n">
        <v>0.22</v>
      </c>
      <c r="I206" s="83" t="n">
        <v>24462.02</v>
      </c>
      <c r="J206" s="105" t="inlineStr">
        <is>
          <t>ASSINADO</t>
        </is>
      </c>
      <c r="K206" s="105" t="inlineStr">
        <is>
          <t>DEZ</t>
        </is>
      </c>
      <c r="L206" s="105" t="inlineStr">
        <is>
          <t>MAR</t>
        </is>
      </c>
      <c r="M206" s="105" t="inlineStr">
        <is>
          <t>QUENTE</t>
        </is>
      </c>
    </row>
    <row r="207" ht="15" customHeight="1" s="49">
      <c r="A207" s="105" t="inlineStr">
        <is>
          <t>ORLANDO</t>
        </is>
      </c>
      <c r="B207" s="105" t="inlineStr">
        <is>
          <t>São Paulo - Matriz</t>
        </is>
      </c>
      <c r="C207" s="106" t="n"/>
      <c r="D207" s="105" t="inlineStr">
        <is>
          <t>RAULNY AUGUSTO CAMPOS PEDREGULHO – SP</t>
        </is>
      </c>
      <c r="E207" s="105" t="inlineStr">
        <is>
          <t>PIS COFINS INSUMOS</t>
        </is>
      </c>
      <c r="F207" s="105" t="inlineStr">
        <is>
          <t>NOVO</t>
        </is>
      </c>
      <c r="G207" s="83" t="n">
        <v>32200</v>
      </c>
      <c r="H207" s="107" t="n">
        <v>0.22</v>
      </c>
      <c r="I207" s="83" t="n">
        <v>7084</v>
      </c>
      <c r="J207" s="105" t="inlineStr">
        <is>
          <t>ASSINADO</t>
        </is>
      </c>
      <c r="K207" s="105" t="inlineStr">
        <is>
          <t>DEZ</t>
        </is>
      </c>
      <c r="L207" s="105" t="inlineStr">
        <is>
          <t>MAR</t>
        </is>
      </c>
      <c r="M207" s="105" t="inlineStr">
        <is>
          <t>QUENTE</t>
        </is>
      </c>
    </row>
    <row r="208" ht="15" customHeight="1" s="49">
      <c r="A208" s="105" t="inlineStr">
        <is>
          <t>ORLANDO</t>
        </is>
      </c>
      <c r="B208" s="105" t="inlineStr">
        <is>
          <t>São Paulo - Matriz</t>
        </is>
      </c>
      <c r="C208" s="106" t="n"/>
      <c r="D208" s="105" t="inlineStr">
        <is>
          <t>SUPERERCADO FERNANDO DE FRANCA LTDA</t>
        </is>
      </c>
      <c r="E208" s="105" t="inlineStr">
        <is>
          <t>SUBV IRPJ CSLL- ICMS</t>
        </is>
      </c>
      <c r="F208" s="105" t="inlineStr">
        <is>
          <t>NOVO</t>
        </is>
      </c>
      <c r="G208" s="83" t="n">
        <v>205351</v>
      </c>
      <c r="H208" s="107" t="n">
        <v>0.22</v>
      </c>
      <c r="I208" s="83" t="n">
        <v>45177.22</v>
      </c>
      <c r="J208" s="105" t="inlineStr">
        <is>
          <t>ASSINADO</t>
        </is>
      </c>
      <c r="K208" s="105" t="inlineStr">
        <is>
          <t>DEZ</t>
        </is>
      </c>
      <c r="L208" s="105" t="inlineStr">
        <is>
          <t>MAR</t>
        </is>
      </c>
      <c r="M208" s="105" t="inlineStr">
        <is>
          <t>QUENTE</t>
        </is>
      </c>
    </row>
    <row r="209" ht="15" customHeight="1" s="49">
      <c r="A209" s="105" t="inlineStr">
        <is>
          <t>ORLANDO</t>
        </is>
      </c>
      <c r="B209" s="105" t="inlineStr">
        <is>
          <t>São Paulo - Matriz</t>
        </is>
      </c>
      <c r="C209" s="106" t="n"/>
      <c r="D209" s="105" t="inlineStr">
        <is>
          <t>SUPERERCADO FERNANDO DE FRANCA LTDA</t>
        </is>
      </c>
      <c r="E209" s="105" t="inlineStr">
        <is>
          <t>PIS COFINS INSUMOS</t>
        </is>
      </c>
      <c r="F209" s="105" t="inlineStr">
        <is>
          <t>NOVO</t>
        </is>
      </c>
      <c r="G209" s="83" t="n">
        <v>65615</v>
      </c>
      <c r="H209" s="107" t="n">
        <v>0.22</v>
      </c>
      <c r="I209" s="83" t="n">
        <v>14435.3</v>
      </c>
      <c r="J209" s="105" t="inlineStr">
        <is>
          <t>ASSINADO</t>
        </is>
      </c>
      <c r="K209" s="105" t="inlineStr">
        <is>
          <t>DEZ</t>
        </is>
      </c>
      <c r="L209" s="105" t="inlineStr">
        <is>
          <t>MAR</t>
        </is>
      </c>
      <c r="M209" s="105" t="inlineStr">
        <is>
          <t>QUENTE</t>
        </is>
      </c>
    </row>
    <row r="210" ht="15" customHeight="1" s="49">
      <c r="A210" s="105" t="inlineStr">
        <is>
          <t>ORLANDO</t>
        </is>
      </c>
      <c r="B210" s="105" t="inlineStr">
        <is>
          <t>São Paulo - Matriz</t>
        </is>
      </c>
      <c r="C210" s="106" t="n"/>
      <c r="D210" s="105" t="inlineStr">
        <is>
          <t>SUPERERCADO FERNANDO DE FRANCA LTDA</t>
        </is>
      </c>
      <c r="E210" s="105" t="inlineStr">
        <is>
          <t>IRPJ CSLL- DEDUÇÃO JCP</t>
        </is>
      </c>
      <c r="F210" s="105" t="inlineStr">
        <is>
          <t>NOVO</t>
        </is>
      </c>
      <c r="G210" s="83" t="n">
        <v>18538</v>
      </c>
      <c r="H210" s="107" t="n">
        <v>0.22</v>
      </c>
      <c r="I210" s="83" t="n">
        <v>4078.36</v>
      </c>
      <c r="J210" s="105" t="inlineStr">
        <is>
          <t>ASSINADO</t>
        </is>
      </c>
      <c r="K210" s="105" t="inlineStr">
        <is>
          <t>DEZ</t>
        </is>
      </c>
      <c r="L210" s="105" t="inlineStr">
        <is>
          <t>MAR</t>
        </is>
      </c>
      <c r="M210" s="105" t="inlineStr">
        <is>
          <t>QUENTE</t>
        </is>
      </c>
    </row>
    <row r="211" ht="15" customHeight="1" s="49">
      <c r="A211" s="105" t="inlineStr">
        <is>
          <t>ORLANDO</t>
        </is>
      </c>
      <c r="B211" s="105" t="inlineStr">
        <is>
          <t>São Paulo - Matriz</t>
        </is>
      </c>
      <c r="C211" s="106" t="n"/>
      <c r="D211" s="105" t="inlineStr">
        <is>
          <t>SUPERERCADO FERNANDO DE FRANCA LTDA</t>
        </is>
      </c>
      <c r="E211" s="105" t="inlineStr">
        <is>
          <t>EXCLUSÃO ICMS ST BASE PIS COFINS</t>
        </is>
      </c>
      <c r="F211" s="105" t="inlineStr">
        <is>
          <t>NOVO</t>
        </is>
      </c>
      <c r="G211" s="83" t="n">
        <v>427267</v>
      </c>
      <c r="H211" s="107" t="n">
        <v>0.22</v>
      </c>
      <c r="I211" s="83" t="n">
        <v>93998.74000000001</v>
      </c>
      <c r="J211" s="105" t="inlineStr">
        <is>
          <t>ASSINADO</t>
        </is>
      </c>
      <c r="K211" s="105" t="inlineStr">
        <is>
          <t>DEZ</t>
        </is>
      </c>
      <c r="L211" s="105" t="inlineStr">
        <is>
          <t>MAR</t>
        </is>
      </c>
      <c r="M211" s="105" t="inlineStr">
        <is>
          <t>QUENTE</t>
        </is>
      </c>
    </row>
    <row r="212" ht="15" customHeight="1" s="49">
      <c r="A212" s="105" t="inlineStr">
        <is>
          <t>ORLANDO</t>
        </is>
      </c>
      <c r="B212" s="105" t="inlineStr">
        <is>
          <t>São Paulo - Matriz</t>
        </is>
      </c>
      <c r="C212" s="106" t="n"/>
      <c r="D212" s="105" t="inlineStr">
        <is>
          <t>PAVONI E SALAZAR SUPERMERCADOS</t>
        </is>
      </c>
      <c r="E212" s="105" t="inlineStr">
        <is>
          <t>PIS COFINS INSUMOS</t>
        </is>
      </c>
      <c r="F212" s="105" t="inlineStr">
        <is>
          <t>UPSELL</t>
        </is>
      </c>
      <c r="G212" s="83" t="n">
        <v>119678</v>
      </c>
      <c r="H212" s="107" t="n">
        <v>0.18</v>
      </c>
      <c r="I212" s="83" t="n">
        <v>21542.04</v>
      </c>
      <c r="J212" s="105" t="inlineStr">
        <is>
          <t>ASSINADO</t>
        </is>
      </c>
      <c r="K212" s="105" t="inlineStr">
        <is>
          <t>DEZ</t>
        </is>
      </c>
      <c r="L212" s="105" t="inlineStr">
        <is>
          <t>MAR</t>
        </is>
      </c>
      <c r="M212" s="105" t="inlineStr">
        <is>
          <t>QUENTE</t>
        </is>
      </c>
    </row>
    <row r="213" ht="15" customHeight="1" s="49">
      <c r="A213" s="105" t="inlineStr">
        <is>
          <t>ORLANDO</t>
        </is>
      </c>
      <c r="B213" s="105" t="inlineStr">
        <is>
          <t>São Paulo - Matriz</t>
        </is>
      </c>
      <c r="C213" s="106" t="n"/>
      <c r="D213" s="105" t="inlineStr">
        <is>
          <t>PAVONI E SALAZAR SUPERMERCADOS</t>
        </is>
      </c>
      <c r="E213" s="105" t="inlineStr">
        <is>
          <t>EXCLUSÃO ICMS ST BASE PIS COFINS</t>
        </is>
      </c>
      <c r="F213" s="105" t="inlineStr">
        <is>
          <t>UPSELL</t>
        </is>
      </c>
      <c r="G213" s="83" t="n">
        <v>310897</v>
      </c>
      <c r="H213" s="107" t="n">
        <v>0.18</v>
      </c>
      <c r="I213" s="83" t="n">
        <v>55961.46</v>
      </c>
      <c r="J213" s="105" t="inlineStr">
        <is>
          <t>BASE</t>
        </is>
      </c>
      <c r="K213" s="105" t="inlineStr">
        <is>
          <t>DEZ</t>
        </is>
      </c>
      <c r="L213" s="105" t="n"/>
      <c r="M213" s="105" t="inlineStr">
        <is>
          <t>FRIO</t>
        </is>
      </c>
    </row>
    <row r="214" ht="15" customHeight="1" s="49">
      <c r="A214" s="105" t="inlineStr">
        <is>
          <t>ORLANDO</t>
        </is>
      </c>
      <c r="B214" s="105" t="inlineStr">
        <is>
          <t>São Paulo - Matriz</t>
        </is>
      </c>
      <c r="C214" s="106" t="n"/>
      <c r="D214" s="105" t="inlineStr">
        <is>
          <t>BA BARBOSA</t>
        </is>
      </c>
      <c r="E214" s="105" t="inlineStr">
        <is>
          <t xml:space="preserve">PREVIDENCIARIO </t>
        </is>
      </c>
      <c r="F214" s="105" t="inlineStr">
        <is>
          <t>UPSELL</t>
        </is>
      </c>
      <c r="G214" s="83" t="n">
        <v>2882453.89</v>
      </c>
      <c r="H214" s="107" t="n">
        <v>0.12</v>
      </c>
      <c r="I214" s="83" t="n">
        <v>345894.47</v>
      </c>
      <c r="J214" s="105" t="inlineStr">
        <is>
          <t>ASSINADO</t>
        </is>
      </c>
      <c r="K214" s="105" t="inlineStr">
        <is>
          <t>JAN</t>
        </is>
      </c>
      <c r="L214" s="105" t="inlineStr">
        <is>
          <t>JAN</t>
        </is>
      </c>
      <c r="M214" s="105" t="inlineStr">
        <is>
          <t>QUENTE</t>
        </is>
      </c>
    </row>
    <row r="215" ht="15" customHeight="1" s="49">
      <c r="A215" s="105" t="inlineStr">
        <is>
          <t>ORLANDO</t>
        </is>
      </c>
      <c r="B215" s="105" t="inlineStr">
        <is>
          <t>São Paulo - Matriz</t>
        </is>
      </c>
      <c r="C215" s="106" t="n"/>
      <c r="D215" s="105" t="inlineStr">
        <is>
          <t>CASA DE CARNES SAO PAULO LTDA</t>
        </is>
      </c>
      <c r="E215" s="105" t="inlineStr">
        <is>
          <t>IRPJ E CSLL</t>
        </is>
      </c>
      <c r="F215" s="105" t="inlineStr">
        <is>
          <t>NOVO</t>
        </is>
      </c>
      <c r="G215" s="83" t="n">
        <v>128247</v>
      </c>
      <c r="H215" s="107" t="n">
        <v>0.2</v>
      </c>
      <c r="I215" s="83" t="n">
        <v>25649.4</v>
      </c>
      <c r="J215" s="105" t="inlineStr">
        <is>
          <t>BASE</t>
        </is>
      </c>
      <c r="K215" s="105" t="inlineStr">
        <is>
          <t>MAR</t>
        </is>
      </c>
      <c r="L215" s="105" t="n"/>
      <c r="M215" s="105" t="inlineStr">
        <is>
          <t>FRIO</t>
        </is>
      </c>
    </row>
    <row r="216" ht="15" customHeight="1" s="49">
      <c r="A216" s="105" t="inlineStr">
        <is>
          <t>ORLANDO</t>
        </is>
      </c>
      <c r="B216" s="105" t="inlineStr">
        <is>
          <t>São Paulo - Matriz</t>
        </is>
      </c>
      <c r="C216" s="106" t="n"/>
      <c r="D216" s="105" t="inlineStr">
        <is>
          <t>CELIA MARQUES &amp; CIA LTDA.</t>
        </is>
      </c>
      <c r="E216" s="105" t="inlineStr">
        <is>
          <t>IRPJ CSLL</t>
        </is>
      </c>
      <c r="F216" s="105" t="inlineStr">
        <is>
          <t>NOVO</t>
        </is>
      </c>
      <c r="G216" s="83" t="n">
        <v>1076756.69</v>
      </c>
      <c r="H216" s="107" t="n">
        <v>0.22</v>
      </c>
      <c r="I216" s="83" t="n">
        <v>236886.47</v>
      </c>
      <c r="J216" s="105" t="inlineStr">
        <is>
          <t>ASSINADO</t>
        </is>
      </c>
      <c r="K216" s="105" t="inlineStr">
        <is>
          <t>JAN</t>
        </is>
      </c>
      <c r="L216" s="105" t="inlineStr">
        <is>
          <t>MAR</t>
        </is>
      </c>
      <c r="M216" s="105" t="inlineStr">
        <is>
          <t>QUENTE</t>
        </is>
      </c>
    </row>
    <row r="217" ht="15" customHeight="1" s="49">
      <c r="A217" s="105" t="inlineStr">
        <is>
          <t>ORLANDO</t>
        </is>
      </c>
      <c r="B217" s="105" t="inlineStr">
        <is>
          <t>São Paulo - Matriz</t>
        </is>
      </c>
      <c r="C217" s="106" t="n"/>
      <c r="D217" s="105" t="inlineStr">
        <is>
          <t>CELIA MARQUES &amp; CIA LTDA.</t>
        </is>
      </c>
      <c r="E217" s="105" t="inlineStr">
        <is>
          <t>PIS E COFINS</t>
        </is>
      </c>
      <c r="F217" s="105" t="inlineStr">
        <is>
          <t>NOVO</t>
        </is>
      </c>
      <c r="G217" s="83" t="n">
        <v>495201</v>
      </c>
      <c r="H217" s="107" t="n">
        <v>0.22</v>
      </c>
      <c r="I217" s="83" t="n">
        <v>108944.22</v>
      </c>
      <c r="J217" s="105" t="inlineStr">
        <is>
          <t>ASSINADO</t>
        </is>
      </c>
      <c r="K217" s="105" t="inlineStr">
        <is>
          <t>JAN</t>
        </is>
      </c>
      <c r="L217" s="105" t="inlineStr">
        <is>
          <t>MAR</t>
        </is>
      </c>
      <c r="M217" s="105" t="inlineStr">
        <is>
          <t>QUENTE</t>
        </is>
      </c>
    </row>
    <row r="218" ht="15" customHeight="1" s="49">
      <c r="A218" s="105" t="inlineStr">
        <is>
          <t>ORLANDO</t>
        </is>
      </c>
      <c r="B218" s="105" t="inlineStr">
        <is>
          <t>São Paulo - Matriz</t>
        </is>
      </c>
      <c r="C218" s="106" t="n"/>
      <c r="D218" s="105" t="inlineStr">
        <is>
          <t>PAVAN SUPERMERCADO LTDA</t>
        </is>
      </c>
      <c r="E218" s="105" t="inlineStr">
        <is>
          <t>EXCLUSAO DO ICMS ST da base PIS e COFINS</t>
        </is>
      </c>
      <c r="F218" s="105" t="inlineStr">
        <is>
          <t>NOVO</t>
        </is>
      </c>
      <c r="G218" s="83" t="n">
        <v>115416</v>
      </c>
      <c r="H218" s="107" t="n">
        <v>0.2</v>
      </c>
      <c r="I218" s="83" t="n">
        <v>23083.2</v>
      </c>
      <c r="J218" s="105" t="inlineStr">
        <is>
          <t>BASE</t>
        </is>
      </c>
      <c r="K218" s="105" t="inlineStr">
        <is>
          <t>FEV</t>
        </is>
      </c>
      <c r="L218" s="105" t="n"/>
      <c r="M218" s="105" t="inlineStr">
        <is>
          <t>QUENTE</t>
        </is>
      </c>
    </row>
    <row r="219" ht="15" customHeight="1" s="49">
      <c r="A219" s="105" t="inlineStr">
        <is>
          <t>ORLANDO</t>
        </is>
      </c>
      <c r="B219" s="105" t="inlineStr">
        <is>
          <t>São Paulo - Matriz</t>
        </is>
      </c>
      <c r="C219" s="106" t="n"/>
      <c r="D219" s="105" t="inlineStr">
        <is>
          <t>PAVAN SUPERMERCADO LTDA</t>
        </is>
      </c>
      <c r="E219" s="105" t="inlineStr">
        <is>
          <t>PIS E COFINS INSUMOS</t>
        </is>
      </c>
      <c r="F219" s="105" t="inlineStr">
        <is>
          <t>NOVO</t>
        </is>
      </c>
      <c r="G219" s="83" t="n">
        <v>114979</v>
      </c>
      <c r="H219" s="107" t="n">
        <v>0.2</v>
      </c>
      <c r="I219" s="83" t="n">
        <v>22995.8</v>
      </c>
      <c r="J219" s="105" t="inlineStr">
        <is>
          <t>BASE</t>
        </is>
      </c>
      <c r="K219" s="105" t="inlineStr">
        <is>
          <t>FEV</t>
        </is>
      </c>
      <c r="L219" s="105" t="n"/>
      <c r="M219" s="105" t="inlineStr">
        <is>
          <t>FRIO</t>
        </is>
      </c>
    </row>
    <row r="220" ht="15" customHeight="1" s="49">
      <c r="A220" s="105" t="inlineStr">
        <is>
          <t>ORLANDO</t>
        </is>
      </c>
      <c r="B220" s="105" t="inlineStr">
        <is>
          <t>São Paulo - Matriz</t>
        </is>
      </c>
      <c r="C220" s="106" t="n"/>
      <c r="D220" s="105" t="inlineStr">
        <is>
          <t>CCB CENTRAL DE COMPRAS DO BRASIL LTDA</t>
        </is>
      </c>
      <c r="E220" s="105" t="inlineStr">
        <is>
          <t>PIS E COFINS INSUMOS</t>
        </is>
      </c>
      <c r="F220" s="105" t="inlineStr">
        <is>
          <t>NOVO</t>
        </is>
      </c>
      <c r="G220" s="83" t="n"/>
      <c r="H220" s="107" t="n">
        <v>0.2</v>
      </c>
      <c r="I220" s="83" t="n">
        <v>0</v>
      </c>
      <c r="J220" s="105" t="inlineStr">
        <is>
          <t>BASE</t>
        </is>
      </c>
      <c r="K220" s="105" t="inlineStr">
        <is>
          <t>FEV</t>
        </is>
      </c>
      <c r="L220" s="105" t="n"/>
      <c r="M220" s="105" t="inlineStr">
        <is>
          <t>FRIO</t>
        </is>
      </c>
    </row>
    <row r="221" ht="15" customHeight="1" s="49">
      <c r="A221" s="105" t="inlineStr">
        <is>
          <t>ORLANDO</t>
        </is>
      </c>
      <c r="B221" s="105" t="inlineStr">
        <is>
          <t>São Paulo - Matriz</t>
        </is>
      </c>
      <c r="C221" s="106" t="n"/>
      <c r="D221" s="105" t="inlineStr">
        <is>
          <t>CCB CENTRAL DE COMPRAS DO BRASIL LTDA</t>
        </is>
      </c>
      <c r="E221" s="105" t="inlineStr">
        <is>
          <t>EXCLUSAO DE ICMS ST DA BASE PIS E CONFINS</t>
        </is>
      </c>
      <c r="F221" s="105" t="inlineStr">
        <is>
          <t>NOVO</t>
        </is>
      </c>
      <c r="G221" s="83" t="n"/>
      <c r="H221" s="107" t="n">
        <v>0.2</v>
      </c>
      <c r="I221" s="83" t="n">
        <v>0</v>
      </c>
      <c r="J221" s="105" t="inlineStr">
        <is>
          <t>BASE</t>
        </is>
      </c>
      <c r="K221" s="105" t="inlineStr">
        <is>
          <t>FEV</t>
        </is>
      </c>
      <c r="L221" s="105" t="n"/>
      <c r="M221" s="105" t="inlineStr">
        <is>
          <t>MORNO</t>
        </is>
      </c>
    </row>
    <row r="222" ht="15" customHeight="1" s="49">
      <c r="A222" s="105" t="inlineStr">
        <is>
          <t>ORLANDO</t>
        </is>
      </c>
      <c r="B222" s="105" t="inlineStr">
        <is>
          <t>São Paulo - Matriz</t>
        </is>
      </c>
      <c r="C222" s="106" t="n"/>
      <c r="D222" s="105" t="inlineStr">
        <is>
          <t>CCB CENTRAL DE COMPRAS DO BRASIL LTDA</t>
        </is>
      </c>
      <c r="E222" s="105" t="inlineStr">
        <is>
          <t>EXCLUSAO DE ICMS DA BASE PIS E CONFINS</t>
        </is>
      </c>
      <c r="F222" s="105" t="inlineStr">
        <is>
          <t>NOVO</t>
        </is>
      </c>
      <c r="G222" s="83" t="n"/>
      <c r="H222" s="107" t="n">
        <v>0.2</v>
      </c>
      <c r="I222" s="83" t="n">
        <v>0</v>
      </c>
      <c r="J222" s="105" t="inlineStr">
        <is>
          <t>BASE</t>
        </is>
      </c>
      <c r="K222" s="105" t="inlineStr">
        <is>
          <t>FEV</t>
        </is>
      </c>
      <c r="L222" s="105" t="n"/>
      <c r="M222" s="105" t="inlineStr">
        <is>
          <t>MORNO</t>
        </is>
      </c>
    </row>
    <row r="223" ht="15" customHeight="1" s="49">
      <c r="A223" s="105" t="inlineStr">
        <is>
          <t>ORLANDO</t>
        </is>
      </c>
      <c r="B223" s="105" t="inlineStr">
        <is>
          <t>São Paulo - Matriz</t>
        </is>
      </c>
      <c r="C223" s="106" t="n"/>
      <c r="D223" s="105" t="inlineStr">
        <is>
          <t>CCB CENTRAL DE COMPRAS DO BRASIL LTDA</t>
        </is>
      </c>
      <c r="E223" s="105" t="inlineStr">
        <is>
          <t xml:space="preserve">PREVIDENCIARIO </t>
        </is>
      </c>
      <c r="F223" s="105" t="inlineStr">
        <is>
          <t>NOVO</t>
        </is>
      </c>
      <c r="G223" s="83" t="n"/>
      <c r="H223" s="107" t="n">
        <v>0.2</v>
      </c>
      <c r="I223" s="83" t="n">
        <v>0</v>
      </c>
      <c r="J223" s="105" t="inlineStr">
        <is>
          <t>BASE</t>
        </is>
      </c>
      <c r="K223" s="105" t="inlineStr">
        <is>
          <t>FEV</t>
        </is>
      </c>
      <c r="L223" s="105" t="n"/>
      <c r="M223" s="105" t="inlineStr">
        <is>
          <t>MORNO</t>
        </is>
      </c>
    </row>
    <row r="224" ht="15" customHeight="1" s="49">
      <c r="A224" s="105" t="inlineStr">
        <is>
          <t>ORLANDO</t>
        </is>
      </c>
      <c r="B224" s="105" t="inlineStr">
        <is>
          <t>São Paulo - Matriz</t>
        </is>
      </c>
      <c r="C224" s="106" t="n"/>
      <c r="D224" s="105" t="inlineStr">
        <is>
          <t>COMERCIAL 3D LTDA</t>
        </is>
      </c>
      <c r="E224" s="105" t="inlineStr">
        <is>
          <t xml:space="preserve">PREVIDENCIARIO </t>
        </is>
      </c>
      <c r="F224" s="105" t="inlineStr">
        <is>
          <t>UPSELL</t>
        </is>
      </c>
      <c r="G224" s="83" t="n">
        <v>1063460.6</v>
      </c>
      <c r="H224" s="107" t="n">
        <v>0.2</v>
      </c>
      <c r="I224" s="83" t="n">
        <v>212692.12</v>
      </c>
      <c r="J224" s="105" t="inlineStr">
        <is>
          <t>BASE</t>
        </is>
      </c>
      <c r="K224" s="105" t="inlineStr">
        <is>
          <t>FEV</t>
        </is>
      </c>
      <c r="L224" s="105" t="n"/>
      <c r="M224" s="105" t="inlineStr">
        <is>
          <t>MORNO</t>
        </is>
      </c>
    </row>
    <row r="225" ht="15" customHeight="1" s="49">
      <c r="A225" s="105" t="inlineStr">
        <is>
          <t>ORLANDO</t>
        </is>
      </c>
      <c r="B225" s="105" t="inlineStr">
        <is>
          <t>São Paulo - Matriz</t>
        </is>
      </c>
      <c r="C225" s="106" t="n"/>
      <c r="D225" s="105" t="inlineStr">
        <is>
          <t>RIBEIRANIA DISTRIBUIDORA DE PRODUTOS LTDA</t>
        </is>
      </c>
      <c r="E225" s="105" t="inlineStr">
        <is>
          <t xml:space="preserve">PREVIDENCIARIO </t>
        </is>
      </c>
      <c r="F225" s="105" t="inlineStr">
        <is>
          <t>UPSELL</t>
        </is>
      </c>
      <c r="G225" s="83" t="n">
        <v>269364.98</v>
      </c>
      <c r="H225" s="107" t="n">
        <v>0.2</v>
      </c>
      <c r="I225" s="83" t="n">
        <v>53873</v>
      </c>
      <c r="J225" s="105" t="inlineStr">
        <is>
          <t>ASSINADO</t>
        </is>
      </c>
      <c r="K225" s="105" t="inlineStr">
        <is>
          <t>FEV</t>
        </is>
      </c>
      <c r="L225" s="105" t="inlineStr">
        <is>
          <t>MAR</t>
        </is>
      </c>
      <c r="M225" s="105" t="inlineStr">
        <is>
          <t>QUENTE</t>
        </is>
      </c>
    </row>
    <row r="226" ht="15" customHeight="1" s="49">
      <c r="A226" s="105" t="inlineStr">
        <is>
          <t>ORLANDO</t>
        </is>
      </c>
      <c r="B226" s="105" t="inlineStr">
        <is>
          <t>São Paulo - Matriz</t>
        </is>
      </c>
      <c r="C226" s="106" t="n"/>
      <c r="D226" s="105" t="inlineStr">
        <is>
          <t>FERNANDO PALMIERI &amp; CIA LTDA</t>
        </is>
      </c>
      <c r="E226" s="105" t="inlineStr">
        <is>
          <t xml:space="preserve">PREVIDENCIARIO </t>
        </is>
      </c>
      <c r="F226" s="105" t="inlineStr">
        <is>
          <t>UPSELL</t>
        </is>
      </c>
      <c r="G226" s="83" t="n">
        <v>323731.75</v>
      </c>
      <c r="H226" s="107" t="n">
        <v>0.2</v>
      </c>
      <c r="I226" s="83" t="n">
        <v>64746.35</v>
      </c>
      <c r="J226" s="105" t="inlineStr">
        <is>
          <t>ASSINADO</t>
        </is>
      </c>
      <c r="K226" s="105" t="inlineStr">
        <is>
          <t>FEV</t>
        </is>
      </c>
      <c r="L226" s="105" t="inlineStr">
        <is>
          <t>MAR</t>
        </is>
      </c>
      <c r="M226" s="105" t="inlineStr">
        <is>
          <t>QUENTE</t>
        </is>
      </c>
    </row>
    <row r="227" ht="15" customHeight="1" s="49">
      <c r="A227" s="105" t="inlineStr">
        <is>
          <t>ORLANDO</t>
        </is>
      </c>
      <c r="B227" s="105" t="inlineStr">
        <is>
          <t>São Paulo - Matriz</t>
        </is>
      </c>
      <c r="C227" s="106" t="n"/>
      <c r="D227" s="105" t="inlineStr">
        <is>
          <t>LIMA E SILVA COMERCIO DE ALIENTOS LTDA</t>
        </is>
      </c>
      <c r="E227" s="105" t="inlineStr">
        <is>
          <t xml:space="preserve">PREVIDENCIARIO </t>
        </is>
      </c>
      <c r="F227" s="105" t="inlineStr">
        <is>
          <t>UPSELL</t>
        </is>
      </c>
      <c r="G227" s="83" t="n">
        <v>112669.23</v>
      </c>
      <c r="H227" s="107" t="n">
        <v>0.2</v>
      </c>
      <c r="I227" s="83" t="n">
        <v>22533.846</v>
      </c>
      <c r="J227" s="105" t="inlineStr">
        <is>
          <t>BASE</t>
        </is>
      </c>
      <c r="K227" s="105" t="inlineStr">
        <is>
          <t>FEV</t>
        </is>
      </c>
      <c r="L227" s="105" t="n"/>
      <c r="M227" s="105" t="inlineStr">
        <is>
          <t>MORNO</t>
        </is>
      </c>
    </row>
    <row r="228" ht="15" customHeight="1" s="49">
      <c r="A228" s="105" t="inlineStr">
        <is>
          <t>ORLANDO</t>
        </is>
      </c>
      <c r="B228" s="105" t="inlineStr">
        <is>
          <t>São Paulo - Matriz</t>
        </is>
      </c>
      <c r="C228" s="106" t="n"/>
      <c r="D228" s="105" t="inlineStr">
        <is>
          <t>MERCADO E PADARIA PANE SILVIO LTDA</t>
        </is>
      </c>
      <c r="E228" s="105" t="inlineStr">
        <is>
          <t xml:space="preserve">PREVIDENCIARIO </t>
        </is>
      </c>
      <c r="F228" s="105" t="inlineStr">
        <is>
          <t>UPSELL</t>
        </is>
      </c>
      <c r="G228" s="83" t="n">
        <v>320300.94</v>
      </c>
      <c r="H228" s="107" t="n">
        <v>0.25</v>
      </c>
      <c r="I228" s="83" t="n">
        <v>80075.24000000001</v>
      </c>
      <c r="J228" s="105" t="inlineStr">
        <is>
          <t>ASSINADO</t>
        </is>
      </c>
      <c r="K228" s="105" t="inlineStr">
        <is>
          <t>FEV</t>
        </is>
      </c>
      <c r="L228" s="105" t="inlineStr">
        <is>
          <t>FEV</t>
        </is>
      </c>
      <c r="M228" s="105" t="inlineStr">
        <is>
          <t>QUENTE</t>
        </is>
      </c>
    </row>
    <row r="229" ht="15" customHeight="1" s="49">
      <c r="A229" s="105" t="inlineStr">
        <is>
          <t>ORLANDO</t>
        </is>
      </c>
      <c r="B229" s="105" t="inlineStr">
        <is>
          <t>São Paulo - Matriz</t>
        </is>
      </c>
      <c r="C229" s="106" t="n"/>
      <c r="D229" s="105" t="inlineStr">
        <is>
          <t>A. BELINELLI DE JESUS LTDA</t>
        </is>
      </c>
      <c r="E229" s="105" t="inlineStr">
        <is>
          <t>PIS E COFINS</t>
        </is>
      </c>
      <c r="F229" s="105" t="inlineStr">
        <is>
          <t>NOVO</t>
        </is>
      </c>
      <c r="G229" s="83" t="n">
        <v>106711</v>
      </c>
      <c r="H229" s="107" t="n">
        <v>0.2</v>
      </c>
      <c r="I229" s="83" t="n">
        <v>21342.2</v>
      </c>
      <c r="J229" s="105" t="inlineStr">
        <is>
          <t>ASSINADO</t>
        </is>
      </c>
      <c r="K229" s="105" t="inlineStr">
        <is>
          <t>FEV</t>
        </is>
      </c>
      <c r="L229" s="105" t="inlineStr">
        <is>
          <t>MAR</t>
        </is>
      </c>
      <c r="M229" s="105" t="inlineStr">
        <is>
          <t>QUENTE</t>
        </is>
      </c>
    </row>
    <row r="230" ht="15" customHeight="1" s="49">
      <c r="A230" s="105" t="inlineStr">
        <is>
          <t>ORLANDO</t>
        </is>
      </c>
      <c r="B230" s="105" t="inlineStr">
        <is>
          <t>São Paulo - Matriz</t>
        </is>
      </c>
      <c r="C230" s="106" t="n"/>
      <c r="D230" s="105" t="inlineStr">
        <is>
          <t>COMAVI  COMERCIO DE ALIMENTOS VISTA ALEGRE LTDA</t>
        </is>
      </c>
      <c r="E230" s="105" t="inlineStr">
        <is>
          <t xml:space="preserve">PREVIDENCIARIO </t>
        </is>
      </c>
      <c r="F230" s="105" t="inlineStr">
        <is>
          <t>UPSELL</t>
        </is>
      </c>
      <c r="G230" s="83" t="n">
        <v>115389.61</v>
      </c>
      <c r="H230" s="107" t="n">
        <v>0.2</v>
      </c>
      <c r="I230" s="83" t="n">
        <v>23077.92</v>
      </c>
      <c r="J230" s="105" t="inlineStr">
        <is>
          <t>ASSINADO</t>
        </is>
      </c>
      <c r="K230" s="105" t="inlineStr">
        <is>
          <t>MAR</t>
        </is>
      </c>
      <c r="L230" s="105" t="inlineStr">
        <is>
          <t>MAR</t>
        </is>
      </c>
      <c r="M230" s="105" t="inlineStr">
        <is>
          <t>QUENTE</t>
        </is>
      </c>
    </row>
    <row r="231" ht="15" customHeight="1" s="49">
      <c r="A231" s="105" t="inlineStr">
        <is>
          <t>ORLANDO</t>
        </is>
      </c>
      <c r="B231" s="105" t="inlineStr">
        <is>
          <t>São Paulo - Matriz</t>
        </is>
      </c>
      <c r="C231" s="106" t="n"/>
      <c r="D231" s="105" t="inlineStr">
        <is>
          <t xml:space="preserve">SUPERMERCADO CANESIN LTDA </t>
        </is>
      </c>
      <c r="E231" s="105" t="inlineStr">
        <is>
          <t xml:space="preserve">PREVIDENCIARIO </t>
        </is>
      </c>
      <c r="F231" s="105" t="inlineStr">
        <is>
          <t>UPSELL</t>
        </is>
      </c>
      <c r="G231" s="83" t="n">
        <v>531044.6</v>
      </c>
      <c r="H231" s="107" t="n">
        <v>0.2</v>
      </c>
      <c r="I231" s="83" t="n">
        <v>106208.92</v>
      </c>
      <c r="J231" s="105" t="inlineStr">
        <is>
          <t>BASE</t>
        </is>
      </c>
      <c r="K231" s="105" t="inlineStr">
        <is>
          <t>MAR</t>
        </is>
      </c>
      <c r="L231" s="105" t="n"/>
      <c r="M231" s="105" t="inlineStr">
        <is>
          <t>QUENTE</t>
        </is>
      </c>
    </row>
    <row r="232" ht="15" customHeight="1" s="49">
      <c r="A232" s="105" t="inlineStr">
        <is>
          <t>ORLANDO</t>
        </is>
      </c>
      <c r="B232" s="105" t="inlineStr">
        <is>
          <t>São Paulo - Matriz</t>
        </is>
      </c>
      <c r="C232" s="106" t="n"/>
      <c r="D232" s="105" t="inlineStr">
        <is>
          <t xml:space="preserve">SUPERMERCADO MORANGUINHO </t>
        </is>
      </c>
      <c r="E232" s="105" t="inlineStr">
        <is>
          <t>EXCLUSAO DO ICMS ST da base PIS e COFINS</t>
        </is>
      </c>
      <c r="F232" s="105" t="inlineStr">
        <is>
          <t>NOVO</t>
        </is>
      </c>
      <c r="G232" s="83" t="n">
        <v>4023245</v>
      </c>
      <c r="H232" s="107" t="n">
        <v>0.2</v>
      </c>
      <c r="I232" s="83" t="n">
        <v>804649</v>
      </c>
      <c r="J232" s="105" t="inlineStr">
        <is>
          <t>BASE</t>
        </is>
      </c>
      <c r="K232" s="105" t="inlineStr">
        <is>
          <t>MAR</t>
        </is>
      </c>
      <c r="L232" s="105" t="n"/>
      <c r="M232" s="105" t="inlineStr">
        <is>
          <t>QUENTE</t>
        </is>
      </c>
    </row>
    <row r="233" ht="15" customHeight="1" s="49">
      <c r="A233" s="105" t="inlineStr">
        <is>
          <t>ORLANDO</t>
        </is>
      </c>
      <c r="B233" s="105" t="inlineStr">
        <is>
          <t>São Paulo - Matriz</t>
        </is>
      </c>
      <c r="C233" s="106" t="n"/>
      <c r="D233" s="105" t="inlineStr">
        <is>
          <t xml:space="preserve">SUPERMERCADO MORANGUINHO </t>
        </is>
      </c>
      <c r="E233" s="105" t="inlineStr">
        <is>
          <t xml:space="preserve">PREVIDENCIARIO </t>
        </is>
      </c>
      <c r="F233" s="105" t="inlineStr">
        <is>
          <t>NOVO</t>
        </is>
      </c>
      <c r="G233" s="83" t="n">
        <v>906380</v>
      </c>
      <c r="H233" s="107" t="n">
        <v>0.2</v>
      </c>
      <c r="I233" s="83" t="n">
        <v>181276</v>
      </c>
      <c r="J233" s="105" t="inlineStr">
        <is>
          <t>BASE</t>
        </is>
      </c>
      <c r="K233" s="105" t="inlineStr">
        <is>
          <t>MAR</t>
        </is>
      </c>
      <c r="L233" s="105" t="n"/>
      <c r="M233" s="105" t="inlineStr">
        <is>
          <t>QUENTE</t>
        </is>
      </c>
    </row>
    <row r="234" ht="15" customHeight="1" s="49">
      <c r="A234" s="105" t="inlineStr">
        <is>
          <t>ORLANDO</t>
        </is>
      </c>
      <c r="B234" s="105" t="inlineStr">
        <is>
          <t>São Paulo - Matriz</t>
        </is>
      </c>
      <c r="C234" s="106" t="n"/>
      <c r="D234" s="105" t="inlineStr">
        <is>
          <t xml:space="preserve">SUPERMERCADO MORANGUINHO </t>
        </is>
      </c>
      <c r="E234" s="105" t="inlineStr">
        <is>
          <t>PIS E COFINS</t>
        </is>
      </c>
      <c r="F234" s="105" t="inlineStr">
        <is>
          <t>NOVO</t>
        </is>
      </c>
      <c r="G234" s="83" t="n">
        <v>1803164</v>
      </c>
      <c r="H234" s="107" t="n">
        <v>0.2</v>
      </c>
      <c r="I234" s="83" t="n">
        <v>360632.8</v>
      </c>
      <c r="J234" s="105" t="inlineStr">
        <is>
          <t>BASE</t>
        </is>
      </c>
      <c r="K234" s="105" t="inlineStr">
        <is>
          <t>MAR</t>
        </is>
      </c>
      <c r="L234" s="105" t="n"/>
      <c r="M234" s="105" t="inlineStr">
        <is>
          <t>QUENTE</t>
        </is>
      </c>
    </row>
    <row r="235" ht="15" customHeight="1" s="49">
      <c r="A235" s="105" t="inlineStr">
        <is>
          <t>ORLANDO</t>
        </is>
      </c>
      <c r="B235" s="105" t="inlineStr">
        <is>
          <t>São Paulo - Matriz</t>
        </is>
      </c>
      <c r="C235" s="106" t="n"/>
      <c r="D235" s="105" t="inlineStr">
        <is>
          <t>REDE INTEGRADA COMERCIO PRODUTOS ALIMENTICIOS LTDA</t>
        </is>
      </c>
      <c r="E235" s="105" t="inlineStr">
        <is>
          <t>EXCLUSAO ICMS ST  DA base PIS e COFINS</t>
        </is>
      </c>
      <c r="F235" s="105" t="inlineStr">
        <is>
          <t>NOVO</t>
        </is>
      </c>
      <c r="G235" s="83" t="n">
        <v>4851961</v>
      </c>
      <c r="H235" s="107" t="n">
        <v>0.2</v>
      </c>
      <c r="I235" s="83" t="n">
        <v>970392.2</v>
      </c>
      <c r="J235" s="105" t="inlineStr">
        <is>
          <t>BASE</t>
        </is>
      </c>
      <c r="K235" s="105" t="inlineStr">
        <is>
          <t>ABR</t>
        </is>
      </c>
      <c r="L235" s="105" t="n"/>
      <c r="M235" s="105" t="n"/>
    </row>
    <row r="236" ht="15" customHeight="1" s="49">
      <c r="A236" s="105" t="inlineStr">
        <is>
          <t>ORLANDO</t>
        </is>
      </c>
      <c r="B236" s="105" t="inlineStr">
        <is>
          <t>São Paulo - Matriz</t>
        </is>
      </c>
      <c r="C236" s="106" t="n"/>
      <c r="D236" s="105" t="inlineStr">
        <is>
          <t>REDE INTEGRADA COMERCIO PRODUTOS ALIMENTICIOS LTDA</t>
        </is>
      </c>
      <c r="E236" s="105" t="inlineStr">
        <is>
          <t>PIS E CONFINS insumos</t>
        </is>
      </c>
      <c r="F236" s="105" t="inlineStr">
        <is>
          <t>NOVO</t>
        </is>
      </c>
      <c r="G236" s="83" t="n">
        <v>47602</v>
      </c>
      <c r="H236" s="107" t="n">
        <v>0.2</v>
      </c>
      <c r="I236" s="83" t="n">
        <v>9520.4</v>
      </c>
      <c r="J236" s="105" t="inlineStr">
        <is>
          <t>BASE</t>
        </is>
      </c>
      <c r="K236" s="105" t="inlineStr">
        <is>
          <t>ABR</t>
        </is>
      </c>
      <c r="L236" s="105" t="n"/>
      <c r="M236" s="105" t="n"/>
    </row>
    <row r="237" ht="15" customHeight="1" s="49">
      <c r="A237" s="105" t="inlineStr">
        <is>
          <t>ORLANDO</t>
        </is>
      </c>
      <c r="B237" s="105" t="inlineStr">
        <is>
          <t>São Paulo - Matriz</t>
        </is>
      </c>
      <c r="C237" s="106" t="n"/>
      <c r="D237" s="105" t="inlineStr">
        <is>
          <t>SUPERMERCADO BIG COMPRAS</t>
        </is>
      </c>
      <c r="E237" s="105" t="inlineStr">
        <is>
          <t>EXCLUSAO DE ICMS ST DA BASE PIS E CONFINS</t>
        </is>
      </c>
      <c r="F237" s="105" t="inlineStr">
        <is>
          <t>UPSELL</t>
        </is>
      </c>
      <c r="G237" s="83" t="n">
        <v>913448.91</v>
      </c>
      <c r="H237" s="107" t="n">
        <v>0.12</v>
      </c>
      <c r="I237" s="83" t="n">
        <v>109613.87</v>
      </c>
      <c r="J237" s="105" t="inlineStr">
        <is>
          <t>ASSINADO</t>
        </is>
      </c>
      <c r="K237" s="105" t="inlineStr">
        <is>
          <t>MAR</t>
        </is>
      </c>
      <c r="L237" s="105" t="inlineStr">
        <is>
          <t>MAR</t>
        </is>
      </c>
      <c r="M237" s="105" t="inlineStr">
        <is>
          <t>QUENTE</t>
        </is>
      </c>
    </row>
    <row r="238" ht="15" customHeight="1" s="49">
      <c r="A238" s="105" t="inlineStr">
        <is>
          <t>ORLANDO</t>
        </is>
      </c>
      <c r="B238" s="105" t="inlineStr">
        <is>
          <t>São Paulo - Matriz</t>
        </is>
      </c>
      <c r="C238" s="106" t="n"/>
      <c r="D238" s="105" t="inlineStr">
        <is>
          <t>SUPERMERCADO VICALY PARATI</t>
        </is>
      </c>
      <c r="E238" s="105" t="inlineStr">
        <is>
          <t>EXCLUSAO DE ICMS ST DA BASE PIS E CONFINS</t>
        </is>
      </c>
      <c r="F238" s="105" t="inlineStr">
        <is>
          <t>UPSELL</t>
        </is>
      </c>
      <c r="G238" s="83" t="n">
        <v>606621.35</v>
      </c>
      <c r="H238" s="107" t="n">
        <v>0.08</v>
      </c>
      <c r="I238" s="83" t="n">
        <v>48529.71</v>
      </c>
      <c r="J238" s="105" t="inlineStr">
        <is>
          <t>ASSINADO</t>
        </is>
      </c>
      <c r="K238" s="105" t="inlineStr">
        <is>
          <t>MAR</t>
        </is>
      </c>
      <c r="L238" s="105" t="inlineStr">
        <is>
          <t>MAR</t>
        </is>
      </c>
      <c r="M238" s="105" t="inlineStr">
        <is>
          <t>QUENTE</t>
        </is>
      </c>
    </row>
    <row r="239" ht="15" customHeight="1" s="49">
      <c r="A239" s="105" t="inlineStr">
        <is>
          <t>ORLANDO</t>
        </is>
      </c>
      <c r="B239" s="105" t="inlineStr">
        <is>
          <t>São Paulo - Matriz</t>
        </is>
      </c>
      <c r="C239" s="106" t="n"/>
      <c r="D239" s="105" t="inlineStr">
        <is>
          <t>COMERCIO DE GENERO ALIMENTICIO PARANA</t>
        </is>
      </c>
      <c r="E239" s="105" t="inlineStr">
        <is>
          <t>EXCLUSAO DE ICMS ST DA BASE PIS E CONFINS</t>
        </is>
      </c>
      <c r="F239" s="105" t="inlineStr">
        <is>
          <t>UPSELL</t>
        </is>
      </c>
      <c r="G239" s="83" t="n">
        <v>354069.01</v>
      </c>
      <c r="H239" s="107" t="n">
        <v>0.18</v>
      </c>
      <c r="I239" s="83" t="n">
        <v>63732.42</v>
      </c>
      <c r="J239" s="105" t="inlineStr">
        <is>
          <t>ASSINADO</t>
        </is>
      </c>
      <c r="K239" s="105" t="inlineStr">
        <is>
          <t>MAR</t>
        </is>
      </c>
      <c r="L239" s="105" t="inlineStr">
        <is>
          <t>MAR</t>
        </is>
      </c>
      <c r="M239" s="105" t="inlineStr">
        <is>
          <t>QUENTE</t>
        </is>
      </c>
    </row>
    <row r="240" ht="15" customHeight="1" s="49">
      <c r="A240" s="105" t="inlineStr">
        <is>
          <t>THIAGO</t>
        </is>
      </c>
      <c r="B240" s="105" t="inlineStr">
        <is>
          <t>Recife</t>
        </is>
      </c>
      <c r="C240" s="106" t="n"/>
      <c r="D240" s="105" t="inlineStr">
        <is>
          <t>AUTO POSTO G D LTDA</t>
        </is>
      </c>
      <c r="E240" s="105" t="inlineStr">
        <is>
          <t>ICMS ST PIS COFINS</t>
        </is>
      </c>
      <c r="F240" s="105" t="inlineStr">
        <is>
          <t>NOVO</t>
        </is>
      </c>
      <c r="G240" s="83" t="n">
        <v>63986</v>
      </c>
      <c r="H240" s="107" t="n">
        <v>0.2</v>
      </c>
      <c r="I240" s="83" t="n">
        <v>12797.2</v>
      </c>
      <c r="J240" s="105" t="inlineStr">
        <is>
          <t>BASE</t>
        </is>
      </c>
      <c r="K240" s="105" t="inlineStr">
        <is>
          <t>DEZ</t>
        </is>
      </c>
      <c r="L240" s="105" t="n"/>
      <c r="M240" s="105" t="inlineStr">
        <is>
          <t>QUENTE</t>
        </is>
      </c>
    </row>
    <row r="241" ht="15" customHeight="1" s="49">
      <c r="A241" s="105" t="inlineStr">
        <is>
          <t>THIAGO</t>
        </is>
      </c>
      <c r="B241" s="105" t="inlineStr">
        <is>
          <t>Recife</t>
        </is>
      </c>
      <c r="C241" s="106" t="n"/>
      <c r="D241" s="105" t="inlineStr">
        <is>
          <t>ALIANCA DISTRIBUIDORA DE MATERIAIS LTDA</t>
        </is>
      </c>
      <c r="E241" s="105" t="inlineStr">
        <is>
          <t>IRPJ E CSLL</t>
        </is>
      </c>
      <c r="F241" s="105" t="inlineStr">
        <is>
          <t>NOVO</t>
        </is>
      </c>
      <c r="G241" s="83" t="n">
        <v>222854</v>
      </c>
      <c r="H241" s="107" t="n">
        <v>0.2</v>
      </c>
      <c r="I241" s="83" t="n">
        <v>44570.8</v>
      </c>
      <c r="J241" s="105" t="inlineStr">
        <is>
          <t>ASSINADO</t>
        </is>
      </c>
      <c r="K241" s="105" t="inlineStr">
        <is>
          <t>DEZ</t>
        </is>
      </c>
      <c r="L241" s="105" t="inlineStr">
        <is>
          <t>DEZ</t>
        </is>
      </c>
      <c r="M241" s="105" t="inlineStr">
        <is>
          <t>FRIO</t>
        </is>
      </c>
    </row>
    <row r="242" ht="15" customHeight="1" s="49">
      <c r="A242" s="105" t="inlineStr">
        <is>
          <t>THIAGO</t>
        </is>
      </c>
      <c r="B242" s="105" t="inlineStr">
        <is>
          <t>Recife</t>
        </is>
      </c>
      <c r="C242" s="106" t="n"/>
      <c r="D242" s="105" t="inlineStr">
        <is>
          <t>ALIANCA DISTRIBUIDORA DE MATERIAIS LTDA</t>
        </is>
      </c>
      <c r="E242" s="105" t="inlineStr">
        <is>
          <t>ICMS ST</t>
        </is>
      </c>
      <c r="F242" s="105" t="inlineStr">
        <is>
          <t>NOVO</t>
        </is>
      </c>
      <c r="G242" s="83" t="n">
        <v>319597</v>
      </c>
      <c r="H242" s="107" t="n">
        <v>0.2</v>
      </c>
      <c r="I242" s="83" t="n">
        <v>63919.4</v>
      </c>
      <c r="J242" s="105" t="inlineStr">
        <is>
          <t>ASSINADO</t>
        </is>
      </c>
      <c r="K242" s="105" t="inlineStr">
        <is>
          <t>DEZ</t>
        </is>
      </c>
      <c r="L242" s="105" t="inlineStr">
        <is>
          <t>DEZ</t>
        </is>
      </c>
      <c r="M242" s="105" t="inlineStr">
        <is>
          <t>FRIO</t>
        </is>
      </c>
    </row>
    <row r="243" ht="15" customHeight="1" s="49">
      <c r="A243" s="105" t="inlineStr">
        <is>
          <t>THIAGO</t>
        </is>
      </c>
      <c r="B243" s="105" t="inlineStr">
        <is>
          <t>Recife</t>
        </is>
      </c>
      <c r="C243" s="106" t="n"/>
      <c r="D243" s="105" t="inlineStr">
        <is>
          <t>ALIANCA DISTRIBUIDORA DE MATERIAIS LTDA</t>
        </is>
      </c>
      <c r="E243" s="105" t="inlineStr">
        <is>
          <t>PIS COFINS INSUMOS</t>
        </is>
      </c>
      <c r="F243" s="105" t="inlineStr">
        <is>
          <t>NOVO</t>
        </is>
      </c>
      <c r="G243" s="83" t="n">
        <v>23209</v>
      </c>
      <c r="H243" s="107" t="n">
        <v>0.2</v>
      </c>
      <c r="I243" s="83" t="n">
        <v>4641.8</v>
      </c>
      <c r="J243" s="105" t="inlineStr">
        <is>
          <t>ASSINADO</t>
        </is>
      </c>
      <c r="K243" s="105" t="inlineStr">
        <is>
          <t>DEZ</t>
        </is>
      </c>
      <c r="L243" s="105" t="inlineStr">
        <is>
          <t>DEZ</t>
        </is>
      </c>
      <c r="M243" s="105" t="inlineStr">
        <is>
          <t>FRIO</t>
        </is>
      </c>
    </row>
    <row r="244" ht="15" customHeight="1" s="49">
      <c r="A244" s="105" t="inlineStr">
        <is>
          <t>THIAGO</t>
        </is>
      </c>
      <c r="B244" s="105" t="inlineStr">
        <is>
          <t>Recife</t>
        </is>
      </c>
      <c r="C244" s="106" t="n"/>
      <c r="D244" s="105" t="inlineStr">
        <is>
          <t>VALE DO PARANAPANEMA AVIACAO</t>
        </is>
      </c>
      <c r="E244" s="105" t="inlineStr">
        <is>
          <t>IRPJ E CSLL DEDUCAO JCP</t>
        </is>
      </c>
      <c r="F244" s="105" t="inlineStr">
        <is>
          <t>NOVO</t>
        </is>
      </c>
      <c r="G244" s="83" t="n"/>
      <c r="H244" s="107" t="n">
        <v>0.2</v>
      </c>
      <c r="I244" s="83" t="n"/>
      <c r="J244" s="105" t="inlineStr">
        <is>
          <t>BASE</t>
        </is>
      </c>
      <c r="K244" s="105" t="inlineStr">
        <is>
          <t>JAN</t>
        </is>
      </c>
      <c r="L244" s="105" t="n"/>
      <c r="M244" s="105" t="inlineStr">
        <is>
          <t>FRIO</t>
        </is>
      </c>
    </row>
    <row r="245" ht="15" customHeight="1" s="49">
      <c r="A245" s="105" t="inlineStr">
        <is>
          <t>THIAGO</t>
        </is>
      </c>
      <c r="B245" s="105" t="inlineStr">
        <is>
          <t>Recife</t>
        </is>
      </c>
      <c r="C245" s="106" t="n"/>
      <c r="D245" s="105" t="inlineStr">
        <is>
          <t>T &amp; T RODRIGUES EMPORIOS LTDA</t>
        </is>
      </c>
      <c r="E245" s="105" t="inlineStr">
        <is>
          <t>SUBVENÇAO IRPJ E CSLL ICMS</t>
        </is>
      </c>
      <c r="F245" s="105" t="inlineStr">
        <is>
          <t>NOVO</t>
        </is>
      </c>
      <c r="G245" s="83" t="n"/>
      <c r="H245" s="107" t="n">
        <v>0.2</v>
      </c>
      <c r="I245" s="83" t="n"/>
      <c r="J245" s="105" t="inlineStr">
        <is>
          <t>BASE</t>
        </is>
      </c>
      <c r="K245" s="105" t="inlineStr">
        <is>
          <t>JAN</t>
        </is>
      </c>
      <c r="L245" s="105" t="n"/>
      <c r="M245" s="105" t="inlineStr">
        <is>
          <t>FRIO</t>
        </is>
      </c>
    </row>
    <row r="246" ht="15" customHeight="1" s="49">
      <c r="A246" s="105" t="inlineStr">
        <is>
          <t>THIAGO</t>
        </is>
      </c>
      <c r="B246" s="105" t="inlineStr">
        <is>
          <t>Recife</t>
        </is>
      </c>
      <c r="C246" s="106" t="n"/>
      <c r="D246" s="105" t="inlineStr">
        <is>
          <t>T &amp; T RODRIGUES EMPORIOS LTDA</t>
        </is>
      </c>
      <c r="E246" s="105" t="inlineStr">
        <is>
          <t>PIS E COFINS INSUMOS</t>
        </is>
      </c>
      <c r="F246" s="105" t="inlineStr">
        <is>
          <t>NOVO</t>
        </is>
      </c>
      <c r="G246" s="83" t="n"/>
      <c r="H246" s="107" t="n">
        <v>0.2</v>
      </c>
      <c r="I246" s="83" t="n"/>
      <c r="J246" s="105" t="inlineStr">
        <is>
          <t>BASE</t>
        </is>
      </c>
      <c r="K246" s="105" t="inlineStr">
        <is>
          <t>JAN</t>
        </is>
      </c>
      <c r="L246" s="105" t="n"/>
      <c r="M246" s="105" t="inlineStr">
        <is>
          <t>FRIO</t>
        </is>
      </c>
    </row>
    <row r="247" ht="15" customHeight="1" s="49">
      <c r="A247" s="105" t="inlineStr">
        <is>
          <t>THIAGO</t>
        </is>
      </c>
      <c r="B247" s="105" t="inlineStr">
        <is>
          <t>Recife</t>
        </is>
      </c>
      <c r="C247" s="106" t="n"/>
      <c r="D247" s="105" t="inlineStr">
        <is>
          <t>T &amp; T RODRIGUES EMPORIOS LTDA</t>
        </is>
      </c>
      <c r="E247" s="105" t="inlineStr">
        <is>
          <t>IRPJ E CSLL DEDUCAO JCP</t>
        </is>
      </c>
      <c r="F247" s="105" t="inlineStr">
        <is>
          <t>NOVO</t>
        </is>
      </c>
      <c r="G247" s="83" t="n"/>
      <c r="H247" s="107" t="n">
        <v>0.2</v>
      </c>
      <c r="I247" s="83" t="n"/>
      <c r="J247" s="105" t="inlineStr">
        <is>
          <t>BASE</t>
        </is>
      </c>
      <c r="K247" s="105" t="inlineStr">
        <is>
          <t>JAN</t>
        </is>
      </c>
      <c r="L247" s="105" t="n"/>
      <c r="M247" s="105" t="inlineStr">
        <is>
          <t>FRIO</t>
        </is>
      </c>
    </row>
    <row r="248" ht="15" customHeight="1" s="49">
      <c r="A248" s="105" t="inlineStr">
        <is>
          <t>THIAGO</t>
        </is>
      </c>
      <c r="B248" s="105" t="inlineStr">
        <is>
          <t>Recife</t>
        </is>
      </c>
      <c r="C248" s="106" t="n"/>
      <c r="D248" s="105" t="inlineStr">
        <is>
          <t>T &amp; T RODRIGUES EMPORIOS LTDA</t>
        </is>
      </c>
      <c r="E248" s="105" t="inlineStr">
        <is>
          <t>EXCLUSAO DE ICMS ST DA BASE PIS E CONFINS</t>
        </is>
      </c>
      <c r="F248" s="105" t="inlineStr">
        <is>
          <t>NOVO</t>
        </is>
      </c>
      <c r="G248" s="83" t="n"/>
      <c r="H248" s="107" t="n">
        <v>0.2</v>
      </c>
      <c r="I248" s="83" t="n"/>
      <c r="J248" s="105" t="inlineStr">
        <is>
          <t>BASE</t>
        </is>
      </c>
      <c r="K248" s="105" t="inlineStr">
        <is>
          <t>JAN</t>
        </is>
      </c>
      <c r="L248" s="105" t="n"/>
      <c r="M248" s="105" t="inlineStr">
        <is>
          <t>FRIO</t>
        </is>
      </c>
    </row>
    <row r="249" ht="15" customHeight="1" s="49">
      <c r="A249" s="105" t="inlineStr">
        <is>
          <t>THIAGO</t>
        </is>
      </c>
      <c r="B249" s="105" t="inlineStr">
        <is>
          <t>Recife</t>
        </is>
      </c>
      <c r="C249" s="106" t="n"/>
      <c r="D249" s="105" t="inlineStr">
        <is>
          <t>DESTRO BRASIL DISTRIBUICAO LTDA</t>
        </is>
      </c>
      <c r="E249" s="105" t="inlineStr">
        <is>
          <t>PIS E COFINS INSUMOS</t>
        </is>
      </c>
      <c r="F249" s="105" t="inlineStr">
        <is>
          <t>NOVO</t>
        </is>
      </c>
      <c r="G249" s="83" t="n"/>
      <c r="H249" s="107" t="n">
        <v>0.2</v>
      </c>
      <c r="I249" s="83" t="n">
        <v>0</v>
      </c>
      <c r="J249" s="105" t="inlineStr">
        <is>
          <t>BASE</t>
        </is>
      </c>
      <c r="K249" s="105" t="inlineStr">
        <is>
          <t>JAN</t>
        </is>
      </c>
      <c r="L249" s="105" t="n"/>
      <c r="M249" s="105" t="inlineStr">
        <is>
          <t>FRIO</t>
        </is>
      </c>
    </row>
    <row r="250" ht="15" customHeight="1" s="49">
      <c r="A250" s="105" t="inlineStr">
        <is>
          <t>THIAGO</t>
        </is>
      </c>
      <c r="B250" s="105" t="inlineStr">
        <is>
          <t>Recife</t>
        </is>
      </c>
      <c r="C250" s="106" t="n"/>
      <c r="D250" s="105" t="inlineStr">
        <is>
          <t>DESTRO BRASIL DISTRIBUICAO LTDA</t>
        </is>
      </c>
      <c r="E250" s="105" t="inlineStr">
        <is>
          <t>IRPJ E CSLL DEDUCAO JCP</t>
        </is>
      </c>
      <c r="F250" s="105" t="inlineStr">
        <is>
          <t>NOVO</t>
        </is>
      </c>
      <c r="G250" s="83" t="n"/>
      <c r="H250" s="107" t="n">
        <v>0.2</v>
      </c>
      <c r="I250" s="83" t="n">
        <v>0</v>
      </c>
      <c r="J250" s="105" t="inlineStr">
        <is>
          <t>BASE</t>
        </is>
      </c>
      <c r="K250" s="105" t="inlineStr">
        <is>
          <t>JAN</t>
        </is>
      </c>
      <c r="L250" s="105" t="n"/>
      <c r="M250" s="105" t="inlineStr">
        <is>
          <t>FRIO</t>
        </is>
      </c>
    </row>
    <row r="251" ht="15" customHeight="1" s="49">
      <c r="A251" s="105" t="inlineStr">
        <is>
          <t>THIAGO</t>
        </is>
      </c>
      <c r="B251" s="105" t="inlineStr">
        <is>
          <t>Recife</t>
        </is>
      </c>
      <c r="C251" s="106" t="n"/>
      <c r="D251" s="105" t="inlineStr">
        <is>
          <t>DESTRO BRASIL DISTRIBUICAO LTDA</t>
        </is>
      </c>
      <c r="E251" s="105" t="inlineStr">
        <is>
          <t>EXCLUSAO DE ICMS ST DA BASE PIS E CONFINS</t>
        </is>
      </c>
      <c r="F251" s="105" t="inlineStr">
        <is>
          <t>NOVO</t>
        </is>
      </c>
      <c r="G251" s="83" t="n"/>
      <c r="H251" s="107" t="n">
        <v>0.2</v>
      </c>
      <c r="I251" s="83" t="n">
        <v>0</v>
      </c>
      <c r="J251" s="105" t="inlineStr">
        <is>
          <t>BASE</t>
        </is>
      </c>
      <c r="K251" s="105" t="inlineStr">
        <is>
          <t>JAN</t>
        </is>
      </c>
      <c r="L251" s="105" t="n"/>
      <c r="M251" s="105" t="inlineStr">
        <is>
          <t>FRIO</t>
        </is>
      </c>
    </row>
    <row r="252" ht="15" customHeight="1" s="49">
      <c r="A252" s="105" t="inlineStr">
        <is>
          <t>THIAGO</t>
        </is>
      </c>
      <c r="B252" s="105" t="inlineStr">
        <is>
          <t>Recife</t>
        </is>
      </c>
      <c r="C252" s="106" t="n"/>
      <c r="D252" s="105" t="inlineStr">
        <is>
          <t>MOVISTAR COMERCIO DE MATERIAIS DE CONTRUÇÃO</t>
        </is>
      </c>
      <c r="E252" s="105" t="inlineStr">
        <is>
          <t>SUBVENÇAO IRPJ E CSLL ICMS</t>
        </is>
      </c>
      <c r="F252" s="105" t="inlineStr">
        <is>
          <t>NOVO</t>
        </is>
      </c>
      <c r="G252" s="83" t="n"/>
      <c r="H252" s="107" t="n">
        <v>0.2</v>
      </c>
      <c r="I252" s="83" t="n">
        <v>0</v>
      </c>
      <c r="J252" s="105" t="inlineStr">
        <is>
          <t>BASE</t>
        </is>
      </c>
      <c r="K252" s="105" t="inlineStr">
        <is>
          <t>JAN</t>
        </is>
      </c>
      <c r="L252" s="105" t="n"/>
      <c r="M252" s="105" t="inlineStr">
        <is>
          <t>FRIO</t>
        </is>
      </c>
    </row>
    <row r="253" ht="15" customHeight="1" s="49">
      <c r="A253" s="105" t="inlineStr">
        <is>
          <t>THIAGO</t>
        </is>
      </c>
      <c r="B253" s="105" t="inlineStr">
        <is>
          <t>Recife</t>
        </is>
      </c>
      <c r="C253" s="106" t="n"/>
      <c r="D253" s="105" t="inlineStr">
        <is>
          <t>MOVISTAR COMERCIO DE MATERIAIS DE CONTRUÇÃO</t>
        </is>
      </c>
      <c r="E253" s="105" t="inlineStr">
        <is>
          <t>PIS E COFINS INSUMOS</t>
        </is>
      </c>
      <c r="F253" s="105" t="inlineStr">
        <is>
          <t>NOVO</t>
        </is>
      </c>
      <c r="G253" s="83" t="n"/>
      <c r="H253" s="107" t="n">
        <v>0.2</v>
      </c>
      <c r="I253" s="83" t="n">
        <v>0</v>
      </c>
      <c r="J253" s="105" t="inlineStr">
        <is>
          <t>BASE</t>
        </is>
      </c>
      <c r="K253" s="105" t="inlineStr">
        <is>
          <t>JAN</t>
        </is>
      </c>
      <c r="L253" s="105" t="n"/>
      <c r="M253" s="105" t="inlineStr">
        <is>
          <t>FRIO</t>
        </is>
      </c>
    </row>
    <row r="254" ht="15" customHeight="1" s="49">
      <c r="A254" s="105" t="inlineStr">
        <is>
          <t>THIAGO</t>
        </is>
      </c>
      <c r="B254" s="105" t="inlineStr">
        <is>
          <t>Recife</t>
        </is>
      </c>
      <c r="C254" s="106" t="n"/>
      <c r="D254" s="105" t="inlineStr">
        <is>
          <t>MOVISTAR COMERCIO DE MATERIAIS DE CONTRUÇÃO</t>
        </is>
      </c>
      <c r="E254" s="105" t="inlineStr">
        <is>
          <t>EXCLUSAO DE ICMS ST DA BASE PIS E CONFINS</t>
        </is>
      </c>
      <c r="F254" s="105" t="inlineStr">
        <is>
          <t>NOVO</t>
        </is>
      </c>
      <c r="G254" s="83" t="n"/>
      <c r="H254" s="107" t="n">
        <v>0.2</v>
      </c>
      <c r="I254" s="83" t="n">
        <v>0</v>
      </c>
      <c r="J254" s="105" t="inlineStr">
        <is>
          <t>BASE</t>
        </is>
      </c>
      <c r="K254" s="105" t="inlineStr">
        <is>
          <t>JAN</t>
        </is>
      </c>
      <c r="L254" s="105" t="n"/>
      <c r="M254" s="105" t="inlineStr">
        <is>
          <t>FRIO</t>
        </is>
      </c>
    </row>
    <row r="255" ht="15" customHeight="1" s="49">
      <c r="A255" s="105" t="inlineStr">
        <is>
          <t>THIAGO</t>
        </is>
      </c>
      <c r="B255" s="105" t="inlineStr">
        <is>
          <t>Recife</t>
        </is>
      </c>
      <c r="C255" s="106" t="n"/>
      <c r="D255" s="105" t="inlineStr">
        <is>
          <t>DNA BRASIL COMERCIO DE ALIMENTOS LTDA</t>
        </is>
      </c>
      <c r="E255" s="105" t="inlineStr">
        <is>
          <t>EXCLUSAO DE ICMS ST DA BASE PIS E CONFINS</t>
        </is>
      </c>
      <c r="F255" s="105" t="inlineStr">
        <is>
          <t>NOVO</t>
        </is>
      </c>
      <c r="G255" s="83" t="n"/>
      <c r="H255" s="107" t="n">
        <v>0.2</v>
      </c>
      <c r="I255" s="83" t="n">
        <v>0</v>
      </c>
      <c r="J255" s="105" t="inlineStr">
        <is>
          <t>BASE</t>
        </is>
      </c>
      <c r="K255" s="105" t="inlineStr">
        <is>
          <t>JAN</t>
        </is>
      </c>
      <c r="L255" s="105" t="n"/>
      <c r="M255" s="105" t="inlineStr">
        <is>
          <t>FRIO</t>
        </is>
      </c>
    </row>
    <row r="256" ht="15" customHeight="1" s="49">
      <c r="A256" s="105" t="inlineStr">
        <is>
          <t>THIAGO</t>
        </is>
      </c>
      <c r="B256" s="105" t="inlineStr">
        <is>
          <t>Recife</t>
        </is>
      </c>
      <c r="C256" s="106" t="n"/>
      <c r="D256" s="105" t="inlineStr">
        <is>
          <t>DNA BRASIL COMERCIO DE ALIMENTOS LTDA</t>
        </is>
      </c>
      <c r="E256" s="105" t="inlineStr">
        <is>
          <t>PIS E COFINS INSUMOS</t>
        </is>
      </c>
      <c r="F256" s="105" t="inlineStr">
        <is>
          <t>NOVO</t>
        </is>
      </c>
      <c r="G256" s="83" t="n"/>
      <c r="H256" s="107" t="n">
        <v>0.2</v>
      </c>
      <c r="I256" s="83" t="n">
        <v>0</v>
      </c>
      <c r="J256" s="105" t="inlineStr">
        <is>
          <t>BASE</t>
        </is>
      </c>
      <c r="K256" s="105" t="inlineStr">
        <is>
          <t>JAN</t>
        </is>
      </c>
      <c r="L256" s="105" t="n"/>
      <c r="M256" s="105" t="inlineStr">
        <is>
          <t>FRIO</t>
        </is>
      </c>
    </row>
    <row r="257" ht="15" customHeight="1" s="49">
      <c r="A257" s="105" t="inlineStr">
        <is>
          <t>THIAGO</t>
        </is>
      </c>
      <c r="B257" s="105" t="inlineStr">
        <is>
          <t>Recife</t>
        </is>
      </c>
      <c r="C257" s="106" t="n"/>
      <c r="D257" s="105" t="inlineStr">
        <is>
          <t>ME.LINDA COSMETICOS E PERFUMARIA</t>
        </is>
      </c>
      <c r="E257" s="105" t="inlineStr">
        <is>
          <t>EXCLUSAO DE ICMS ST DA BASE PIS E CONFINS</t>
        </is>
      </c>
      <c r="F257" s="105" t="inlineStr">
        <is>
          <t>NOVO</t>
        </is>
      </c>
      <c r="G257" s="83" t="n"/>
      <c r="H257" s="107" t="n">
        <v>0.2</v>
      </c>
      <c r="I257" s="83" t="n">
        <v>0</v>
      </c>
      <c r="J257" s="105" t="inlineStr">
        <is>
          <t>BASE</t>
        </is>
      </c>
      <c r="K257" s="105" t="inlineStr">
        <is>
          <t>JAN</t>
        </is>
      </c>
      <c r="L257" s="105" t="n"/>
      <c r="M257" s="105" t="inlineStr">
        <is>
          <t>FRIO</t>
        </is>
      </c>
    </row>
    <row r="258" ht="15" customHeight="1" s="49">
      <c r="A258" s="105" t="inlineStr">
        <is>
          <t>THIAGO</t>
        </is>
      </c>
      <c r="B258" s="105" t="inlineStr">
        <is>
          <t>Recife</t>
        </is>
      </c>
      <c r="C258" s="106" t="n"/>
      <c r="D258" s="105" t="inlineStr">
        <is>
          <t>ME.LINDA COSMETICOS E PERFUMARIA</t>
        </is>
      </c>
      <c r="E258" s="105" t="inlineStr">
        <is>
          <t>PIS E COFINS INSUMOS</t>
        </is>
      </c>
      <c r="F258" s="105" t="inlineStr">
        <is>
          <t>NOVO</t>
        </is>
      </c>
      <c r="G258" s="83" t="n"/>
      <c r="H258" s="107" t="n">
        <v>0.2</v>
      </c>
      <c r="I258" s="83" t="n">
        <v>0</v>
      </c>
      <c r="J258" s="105" t="inlineStr">
        <is>
          <t>BASE</t>
        </is>
      </c>
      <c r="K258" s="105" t="inlineStr">
        <is>
          <t>JAN</t>
        </is>
      </c>
      <c r="L258" s="105" t="n"/>
      <c r="M258" s="105" t="inlineStr">
        <is>
          <t>FRIO</t>
        </is>
      </c>
    </row>
    <row r="259" ht="15" customHeight="1" s="49">
      <c r="A259" s="105" t="inlineStr">
        <is>
          <t>THIAGO</t>
        </is>
      </c>
      <c r="B259" s="105" t="inlineStr">
        <is>
          <t>Recife</t>
        </is>
      </c>
      <c r="C259" s="106" t="n"/>
      <c r="D259" s="105" t="inlineStr">
        <is>
          <t>DCL DISTRIBUIDORA CARDEAL LTDA</t>
        </is>
      </c>
      <c r="E259" s="105" t="inlineStr">
        <is>
          <t>EXCLUSAO DE ICMS ST DA BASE PIS E CONFINS</t>
        </is>
      </c>
      <c r="F259" s="105" t="inlineStr">
        <is>
          <t>NOVO</t>
        </is>
      </c>
      <c r="G259" s="83" t="n"/>
      <c r="H259" s="107" t="n">
        <v>0.2</v>
      </c>
      <c r="I259" s="83" t="n">
        <v>0</v>
      </c>
      <c r="J259" s="105" t="inlineStr">
        <is>
          <t>BASE</t>
        </is>
      </c>
      <c r="K259" s="105" t="inlineStr">
        <is>
          <t>JAN</t>
        </is>
      </c>
      <c r="L259" s="105" t="n"/>
      <c r="M259" s="105" t="inlineStr">
        <is>
          <t>FRIO</t>
        </is>
      </c>
    </row>
    <row r="260" ht="15" customHeight="1" s="49">
      <c r="A260" s="105" t="inlineStr">
        <is>
          <t>THIAGO</t>
        </is>
      </c>
      <c r="B260" s="105" t="inlineStr">
        <is>
          <t>Recife</t>
        </is>
      </c>
      <c r="C260" s="106" t="n"/>
      <c r="D260" s="105" t="inlineStr">
        <is>
          <t>DCL DISTRIBUIDORA CARDEAL LTDA</t>
        </is>
      </c>
      <c r="E260" s="105" t="inlineStr">
        <is>
          <t>PIS E COFINS INSUMOS</t>
        </is>
      </c>
      <c r="F260" s="105" t="inlineStr">
        <is>
          <t>NOVO</t>
        </is>
      </c>
      <c r="G260" s="83" t="n"/>
      <c r="H260" s="107" t="n">
        <v>0.2</v>
      </c>
      <c r="I260" s="83" t="n">
        <v>0</v>
      </c>
      <c r="J260" s="105" t="inlineStr">
        <is>
          <t>BASE</t>
        </is>
      </c>
      <c r="K260" s="105" t="inlineStr">
        <is>
          <t>JAN</t>
        </is>
      </c>
      <c r="L260" s="105" t="n"/>
      <c r="M260" s="105" t="inlineStr">
        <is>
          <t>FRIO</t>
        </is>
      </c>
    </row>
    <row r="261" ht="15" customHeight="1" s="49">
      <c r="A261" s="105" t="inlineStr">
        <is>
          <t>THIAGO</t>
        </is>
      </c>
      <c r="B261" s="105" t="inlineStr">
        <is>
          <t>Recife</t>
        </is>
      </c>
      <c r="C261" s="106" t="n"/>
      <c r="D261" s="105" t="inlineStr">
        <is>
          <t>SIMAS DISTRIBUIDORA E COMERCIO LTDA</t>
        </is>
      </c>
      <c r="E261" s="105" t="inlineStr">
        <is>
          <t>EXCLUSAO DE ICMS ST DA BASE PIS E CONFINS</t>
        </is>
      </c>
      <c r="F261" s="105" t="inlineStr">
        <is>
          <t>NOVO</t>
        </is>
      </c>
      <c r="G261" s="83" t="n"/>
      <c r="H261" s="107" t="n">
        <v>0.2</v>
      </c>
      <c r="I261" s="83" t="n">
        <v>0</v>
      </c>
      <c r="J261" s="105" t="inlineStr">
        <is>
          <t>BASE</t>
        </is>
      </c>
      <c r="K261" s="105" t="inlineStr">
        <is>
          <t>JAN</t>
        </is>
      </c>
      <c r="L261" s="105" t="n"/>
      <c r="M261" s="105" t="inlineStr">
        <is>
          <t>FRIO</t>
        </is>
      </c>
    </row>
    <row r="262" ht="15" customHeight="1" s="49">
      <c r="A262" s="105" t="inlineStr">
        <is>
          <t>THIAGO</t>
        </is>
      </c>
      <c r="B262" s="105" t="inlineStr">
        <is>
          <t>Recife</t>
        </is>
      </c>
      <c r="C262" s="106" t="n"/>
      <c r="D262" s="105" t="inlineStr">
        <is>
          <t>SIMAS DISTRIBUIDORA E COMERCIO LTDA</t>
        </is>
      </c>
      <c r="E262" s="105" t="inlineStr">
        <is>
          <t>PIS E COFINS INSUMOS</t>
        </is>
      </c>
      <c r="F262" s="105" t="inlineStr">
        <is>
          <t>NOVO</t>
        </is>
      </c>
      <c r="G262" s="83" t="n"/>
      <c r="H262" s="107" t="n">
        <v>0.2</v>
      </c>
      <c r="I262" s="83" t="n">
        <v>0</v>
      </c>
      <c r="J262" s="105" t="inlineStr">
        <is>
          <t>BASE</t>
        </is>
      </c>
      <c r="K262" s="105" t="inlineStr">
        <is>
          <t>JAN</t>
        </is>
      </c>
      <c r="L262" s="105" t="n"/>
      <c r="M262" s="105" t="inlineStr">
        <is>
          <t>FRIO</t>
        </is>
      </c>
    </row>
    <row r="263" ht="15" customHeight="1" s="49">
      <c r="A263" s="105" t="inlineStr">
        <is>
          <t>THIAGO</t>
        </is>
      </c>
      <c r="B263" s="105" t="inlineStr">
        <is>
          <t>Recife</t>
        </is>
      </c>
      <c r="C263" s="106" t="n"/>
      <c r="D263" s="105" t="inlineStr">
        <is>
          <t>MARVITE MARANHÃO VIDROS TEMPERADOS LTDA</t>
        </is>
      </c>
      <c r="E263" s="105" t="inlineStr">
        <is>
          <t>PIS E COFINS</t>
        </is>
      </c>
      <c r="F263" s="105" t="inlineStr">
        <is>
          <t>NOVO</t>
        </is>
      </c>
      <c r="G263" s="83" t="n">
        <v>580806</v>
      </c>
      <c r="H263" s="107" t="n">
        <v>0.2</v>
      </c>
      <c r="I263" s="83" t="n">
        <v>116161.2</v>
      </c>
      <c r="J263" s="105" t="inlineStr">
        <is>
          <t>BASE</t>
        </is>
      </c>
      <c r="K263" s="105" t="inlineStr">
        <is>
          <t>FEV</t>
        </is>
      </c>
      <c r="L263" s="105" t="n"/>
      <c r="M263" s="105" t="inlineStr">
        <is>
          <t>FRIO</t>
        </is>
      </c>
    </row>
    <row r="264" ht="15" customHeight="1" s="49">
      <c r="A264" s="105" t="inlineStr">
        <is>
          <t>THIAGO</t>
        </is>
      </c>
      <c r="B264" s="105" t="inlineStr">
        <is>
          <t>Recife</t>
        </is>
      </c>
      <c r="C264" s="106" t="n"/>
      <c r="D264" s="105" t="inlineStr">
        <is>
          <t>ROQUE MATERIAIS DE CINSTRUCAO LTDA</t>
        </is>
      </c>
      <c r="E264" s="105" t="inlineStr">
        <is>
          <t>PIS E COFINS</t>
        </is>
      </c>
      <c r="F264" s="105" t="inlineStr">
        <is>
          <t>NOVO</t>
        </is>
      </c>
      <c r="G264" s="83" t="n">
        <v>642448</v>
      </c>
      <c r="H264" s="107" t="n">
        <v>0.2</v>
      </c>
      <c r="I264" s="83" t="n">
        <v>128489.6</v>
      </c>
      <c r="J264" s="105" t="inlineStr">
        <is>
          <t>BASE</t>
        </is>
      </c>
      <c r="K264" s="105" t="inlineStr">
        <is>
          <t>FEV</t>
        </is>
      </c>
      <c r="L264" s="105" t="n"/>
      <c r="M264" s="105" t="inlineStr">
        <is>
          <t>QUENTE</t>
        </is>
      </c>
    </row>
    <row r="265" ht="15" customHeight="1" s="49">
      <c r="A265" s="105" t="inlineStr">
        <is>
          <t>THIAGO</t>
        </is>
      </c>
      <c r="B265" s="105" t="inlineStr">
        <is>
          <t>Recife</t>
        </is>
      </c>
      <c r="C265" s="106" t="n"/>
      <c r="D265" s="105" t="inlineStr">
        <is>
          <t>CURTIDORA RIBEIRAOZINHO LTDA</t>
        </is>
      </c>
      <c r="E265" s="105" t="inlineStr">
        <is>
          <t>PIS E COFINS</t>
        </is>
      </c>
      <c r="F265" s="105" t="n"/>
      <c r="G265" s="83" t="n">
        <v>81311</v>
      </c>
      <c r="H265" s="107" t="n">
        <v>0.2</v>
      </c>
      <c r="I265" s="83" t="n">
        <v>16262.2</v>
      </c>
      <c r="J265" s="105" t="inlineStr">
        <is>
          <t>BASE</t>
        </is>
      </c>
      <c r="K265" s="105" t="inlineStr">
        <is>
          <t>MAR</t>
        </is>
      </c>
      <c r="L265" s="105" t="n"/>
      <c r="M265" s="105" t="n"/>
    </row>
    <row r="266" ht="15" customHeight="1" s="49">
      <c r="A266" s="105" t="inlineStr">
        <is>
          <t>ARTHUR</t>
        </is>
      </c>
      <c r="B266" s="105" t="inlineStr">
        <is>
          <t>Matriz</t>
        </is>
      </c>
      <c r="C266" s="106" t="n"/>
      <c r="D266" s="105" t="inlineStr">
        <is>
          <t>MERCADO DA PRACA</t>
        </is>
      </c>
      <c r="E266" s="105" t="n"/>
      <c r="F266" s="105" t="inlineStr">
        <is>
          <t>NOVO</t>
        </is>
      </c>
      <c r="G266" s="83" t="n"/>
      <c r="H266" s="107" t="n">
        <v>0.2</v>
      </c>
      <c r="I266" s="83" t="n">
        <v>0</v>
      </c>
      <c r="J266" s="105" t="inlineStr">
        <is>
          <t>ASSINADO</t>
        </is>
      </c>
      <c r="K266" s="105" t="inlineStr">
        <is>
          <t>ABR</t>
        </is>
      </c>
      <c r="L266" s="105" t="inlineStr">
        <is>
          <t>ABR</t>
        </is>
      </c>
      <c r="M266" s="105" t="inlineStr">
        <is>
          <t>QUENTE</t>
        </is>
      </c>
    </row>
    <row r="267" ht="15" customHeight="1" s="49">
      <c r="A267" s="105" t="inlineStr">
        <is>
          <t>ARTHUR</t>
        </is>
      </c>
      <c r="B267" s="105" t="inlineStr">
        <is>
          <t>Matriz</t>
        </is>
      </c>
      <c r="C267" s="106" t="n"/>
      <c r="D267" s="105" t="inlineStr">
        <is>
          <t>MINE MERCADO DA PRACA</t>
        </is>
      </c>
      <c r="E267" s="105" t="n"/>
      <c r="F267" s="105" t="inlineStr">
        <is>
          <t>NOVO</t>
        </is>
      </c>
      <c r="G267" s="83" t="n"/>
      <c r="H267" s="107" t="n">
        <v>0.2</v>
      </c>
      <c r="I267" s="83" t="n">
        <v>0</v>
      </c>
      <c r="J267" s="105" t="inlineStr">
        <is>
          <t>ASSINADO</t>
        </is>
      </c>
      <c r="K267" s="105" t="inlineStr">
        <is>
          <t>ABR</t>
        </is>
      </c>
      <c r="L267" s="105" t="inlineStr">
        <is>
          <t>ABR</t>
        </is>
      </c>
      <c r="M267" s="105" t="inlineStr">
        <is>
          <t>QUENTE</t>
        </is>
      </c>
    </row>
    <row r="268" ht="15" customHeight="1" s="49">
      <c r="A268" s="105" t="inlineStr">
        <is>
          <t>ARTHUR</t>
        </is>
      </c>
      <c r="B268" s="105" t="inlineStr">
        <is>
          <t>Matriz</t>
        </is>
      </c>
      <c r="C268" s="106" t="n"/>
      <c r="D268" s="105" t="inlineStr">
        <is>
          <t>MERCADO E DISTRIBUIDORA DA PRACA</t>
        </is>
      </c>
      <c r="E268" s="105" t="n"/>
      <c r="F268" s="105" t="inlineStr">
        <is>
          <t>NOVO</t>
        </is>
      </c>
      <c r="G268" s="83" t="n"/>
      <c r="H268" s="107" t="n">
        <v>0.2</v>
      </c>
      <c r="I268" s="83" t="n">
        <v>0</v>
      </c>
      <c r="J268" s="105" t="inlineStr">
        <is>
          <t>ASSINADO</t>
        </is>
      </c>
      <c r="K268" s="105" t="inlineStr">
        <is>
          <t>ABR</t>
        </is>
      </c>
      <c r="L268" s="105" t="inlineStr">
        <is>
          <t>ABR</t>
        </is>
      </c>
      <c r="M268" s="105" t="inlineStr">
        <is>
          <t>QUENTE</t>
        </is>
      </c>
    </row>
    <row r="269" ht="15" customHeight="1" s="49">
      <c r="A269" s="105" t="inlineStr">
        <is>
          <t>ANDERSON</t>
        </is>
      </c>
      <c r="B269" s="105" t="inlineStr">
        <is>
          <t>Fortaleza</t>
        </is>
      </c>
      <c r="C269" s="106" t="n"/>
      <c r="D269" s="105" t="inlineStr">
        <is>
          <t>INDUSTRIA METALURGICA DE CARLITO PAMPLONA LTDA</t>
        </is>
      </c>
      <c r="E269" s="105" t="inlineStr">
        <is>
          <t>PIS E COFINS</t>
        </is>
      </c>
      <c r="F269" s="105" t="inlineStr">
        <is>
          <t>NOVO</t>
        </is>
      </c>
      <c r="G269" s="83" t="n">
        <v>298329</v>
      </c>
      <c r="H269" s="107" t="n">
        <v>0.2</v>
      </c>
      <c r="I269" s="83" t="n">
        <v>59665.8</v>
      </c>
      <c r="J269" s="105" t="inlineStr">
        <is>
          <t>BASE</t>
        </is>
      </c>
      <c r="K269" s="105" t="inlineStr">
        <is>
          <t>ABR</t>
        </is>
      </c>
      <c r="L269" s="105" t="n"/>
      <c r="M269" s="10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48" min="1" max="1"/>
    <col width="14" customWidth="1" style="48" min="2" max="2"/>
  </cols>
  <sheetData>
    <row r="1" ht="17.25" customHeight="1" s="49">
      <c r="A1" s="80" t="inlineStr">
        <is>
          <t>PARÂMETROS DO DASHBOARD</t>
        </is>
      </c>
    </row>
    <row r="3" ht="15" customHeight="1" s="49">
      <c r="A3" s="48" t="inlineStr">
        <is>
          <t>Mês de referência (1-12)</t>
        </is>
      </c>
      <c r="B3" s="108" t="n">
        <v>4</v>
      </c>
    </row>
    <row r="4" ht="15" customHeight="1" s="49">
      <c r="A4" s="48" t="inlineStr">
        <is>
          <t>Dia útil corrente (1-22)</t>
        </is>
      </c>
      <c r="B4" s="108" t="n">
        <v>19</v>
      </c>
    </row>
    <row r="5" ht="15" customHeight="1" s="49">
      <c r="A5" s="48" t="inlineStr">
        <is>
          <t>Dias úteis no mês (padrão 22)</t>
        </is>
      </c>
      <c r="B5" s="108" t="n">
        <v>22</v>
      </c>
    </row>
    <row r="7" ht="15" customHeight="1" s="49">
      <c r="A7" s="48" t="inlineStr">
        <is>
          <t>Mês de referência (texto)</t>
        </is>
      </c>
      <c r="B7" s="109">
        <f>INDEX({"JAN","FEV","MAR","ABR","MAI","JUN","JUL","AGO","SET","OUT","NOV","DEZ"},B3)</f>
        <v/>
      </c>
    </row>
    <row r="9" ht="15" customHeight="1" s="49">
      <c r="A9" s="110" t="inlineStr">
        <is>
          <t>Como usar:</t>
        </is>
      </c>
    </row>
    <row r="10" ht="15" customHeight="1" s="49">
      <c r="A10" s="111" t="inlineStr">
        <is>
          <t>• Altere B3 para mudar o mês corrente do dashboard</t>
        </is>
      </c>
    </row>
    <row r="11" ht="15" customHeight="1" s="49">
      <c r="A11" s="111" t="inlineStr">
        <is>
          <t>• Altere B4 para refletir o dia útil decorrido (usado na projeção)</t>
        </is>
      </c>
    </row>
    <row r="12" ht="15" customHeight="1" s="49">
      <c r="A12" s="111" t="inlineStr">
        <is>
          <t>• Todos os indicadores se recalculam automaticamente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2026-04-27T17:31:48Z</dcterms:created>
  <dcterms:modified xmlns:dcterms="http://purl.org/dc/terms/" xmlns:xsi="http://www.w3.org/2001/XMLSchema-instance" xsi:type="dcterms:W3CDTF">2026-05-25T20:01:27Z</dcterms:modified>
  <cp:revision>2</cp:revision>
</cp:coreProperties>
</file>